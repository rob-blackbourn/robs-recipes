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<sst xmlns="http://schemas.openxmlformats.org/spreadsheetml/2006/main" count="17" uniqueCount="12">
  <si>
    <t>Sponge</t>
  </si>
  <si>
    <t>Remaining</t>
  </si>
  <si>
    <t>Hydration</t>
  </si>
  <si>
    <t>Flour</t>
  </si>
  <si>
    <t>g</t>
  </si>
  <si>
    <t>Water</t>
  </si>
  <si>
    <t>ml</t>
  </si>
  <si>
    <t>Fresh Yeast</t>
  </si>
  <si>
    <t>Dried Yeast</t>
  </si>
  <si>
    <t>tsp</t>
  </si>
  <si>
    <t>Salt</t>
  </si>
  <si>
    <t>Fat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</si>
</sst>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b/>
      <sz val="10.0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1" numFmtId="10" xfId="0" applyAlignment="1" applyFill="1" applyFont="1" applyNumberFormat="1">
      <alignment readingOrder="0" shrinkToFit="0" wrapText="1"/>
    </xf>
    <xf borderId="0" fillId="2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3" max="3" width="4.13"/>
    <col customWidth="1" min="4" max="4" width="4.75"/>
  </cols>
  <sheetData>
    <row r="1">
      <c r="F1" s="1" t="s">
        <v>0</v>
      </c>
      <c r="G1" s="1" t="s">
        <v>1</v>
      </c>
    </row>
    <row r="2">
      <c r="A2" s="2" t="s">
        <v>2</v>
      </c>
      <c r="B2" s="3">
        <v>0.7</v>
      </c>
    </row>
    <row r="3">
      <c r="A3" s="2" t="s">
        <v>3</v>
      </c>
      <c r="B3" s="4">
        <v>500.0</v>
      </c>
      <c r="C3" s="1" t="s">
        <v>4</v>
      </c>
      <c r="F3" s="1">
        <v>150.0</v>
      </c>
      <c r="G3">
        <f t="shared" ref="G3:G8" si="1">B3-F3</f>
        <v>350</v>
      </c>
    </row>
    <row r="4">
      <c r="A4" s="2" t="s">
        <v>5</v>
      </c>
      <c r="B4" s="5">
        <f>B3*B2</f>
        <v>350</v>
      </c>
      <c r="C4" s="1" t="s">
        <v>6</v>
      </c>
      <c r="F4">
        <f t="shared" ref="F4:F8" si="2">$F$3/$B$3*B4</f>
        <v>105</v>
      </c>
      <c r="G4">
        <f t="shared" si="1"/>
        <v>245</v>
      </c>
    </row>
    <row r="5">
      <c r="A5" s="2" t="s">
        <v>7</v>
      </c>
      <c r="B5" s="5">
        <f>B3*2%</f>
        <v>10</v>
      </c>
      <c r="C5" s="1" t="s">
        <v>4</v>
      </c>
      <c r="F5">
        <f t="shared" si="2"/>
        <v>3</v>
      </c>
      <c r="G5">
        <f t="shared" si="1"/>
        <v>7</v>
      </c>
    </row>
    <row r="6">
      <c r="A6" s="2" t="s">
        <v>8</v>
      </c>
      <c r="B6" s="5">
        <f>B3*1%</f>
        <v>5</v>
      </c>
      <c r="C6" s="1" t="s">
        <v>4</v>
      </c>
      <c r="D6" s="5">
        <f t="shared" ref="D6:D7" si="3">B6/6</f>
        <v>0.8333333333</v>
      </c>
      <c r="E6" s="1" t="s">
        <v>9</v>
      </c>
      <c r="F6">
        <f t="shared" si="2"/>
        <v>1.5</v>
      </c>
      <c r="G6">
        <f t="shared" si="1"/>
        <v>3.5</v>
      </c>
    </row>
    <row r="7">
      <c r="A7" s="2" t="s">
        <v>10</v>
      </c>
      <c r="B7" s="5">
        <f>B3*2%</f>
        <v>10</v>
      </c>
      <c r="C7" s="1" t="s">
        <v>4</v>
      </c>
      <c r="D7" s="5">
        <f t="shared" si="3"/>
        <v>1.666666667</v>
      </c>
      <c r="E7" s="1" t="s">
        <v>9</v>
      </c>
      <c r="F7">
        <f t="shared" si="2"/>
        <v>3</v>
      </c>
      <c r="G7">
        <f t="shared" si="1"/>
        <v>7</v>
      </c>
    </row>
    <row r="8">
      <c r="A8" s="2" t="s">
        <v>11</v>
      </c>
      <c r="B8" s="5">
        <f>B3*2%</f>
        <v>10</v>
      </c>
      <c r="C8" s="1" t="s">
        <v>4</v>
      </c>
      <c r="F8">
        <f t="shared" si="2"/>
        <v>3</v>
      </c>
      <c r="G8">
        <f t="shared" si="1"/>
        <v>7</v>
      </c>
    </row>
  </sheetData>
  <drawing r:id="rId1"/>
</worksheet>
</file>