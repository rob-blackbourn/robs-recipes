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</workbook>
</file>

<file path=xl/sharedStrings.xml><?xml version="1.0" encoding="utf-8"?>
<sst xmlns="http://schemas.openxmlformats.org/spreadsheetml/2006/main" count="622" uniqueCount="263">
  <si>
    <t>`</t>
  </si>
  <si>
    <t>Low Alcohol Cocktails</t>
  </si>
  <si>
    <t>Name</t>
  </si>
  <si>
    <t>Glass</t>
  </si>
  <si>
    <t>Method</t>
  </si>
  <si>
    <t>Ice type</t>
  </si>
  <si>
    <t>Ingredients</t>
  </si>
  <si>
    <t>Measures</t>
  </si>
  <si>
    <t>Garnish</t>
  </si>
  <si>
    <t>Accessories</t>
  </si>
  <si>
    <t>SUGGESTED PRICE</t>
  </si>
  <si>
    <t>Aperol Spritz</t>
  </si>
  <si>
    <t>Hurricane</t>
  </si>
  <si>
    <t>Build</t>
  </si>
  <si>
    <t>Cubed - lots</t>
  </si>
  <si>
    <t>Aperol</t>
  </si>
  <si>
    <t>50ml</t>
  </si>
  <si>
    <t>Orange slice</t>
  </si>
  <si>
    <t>Two short straws</t>
  </si>
  <si>
    <t>Cost</t>
  </si>
  <si>
    <t>Prosecco</t>
  </si>
  <si>
    <t>c. 70ml</t>
  </si>
  <si>
    <t>80% GP</t>
  </si>
  <si>
    <t>Soda</t>
  </si>
  <si>
    <t>To Top</t>
  </si>
  <si>
    <t>Actual</t>
  </si>
  <si>
    <t>Fino Sherry Fizz</t>
  </si>
  <si>
    <t>34cl Hi Ball</t>
  </si>
  <si>
    <t>Shake then top with soda</t>
  </si>
  <si>
    <t>Cubed</t>
  </si>
  <si>
    <t>Fino sherry</t>
  </si>
  <si>
    <t>Lemon wedge</t>
  </si>
  <si>
    <t>Two long straws</t>
  </si>
  <si>
    <t>Lemon juice</t>
  </si>
  <si>
    <t>20ml</t>
  </si>
  <si>
    <t>Sugar Syrup</t>
  </si>
  <si>
    <t>To top</t>
  </si>
  <si>
    <t>Peach Punch</t>
  </si>
  <si>
    <t>Shake</t>
  </si>
  <si>
    <t xml:space="preserve">Aperol </t>
  </si>
  <si>
    <t>25ml</t>
  </si>
  <si>
    <t>lemon wedge</t>
  </si>
  <si>
    <t>straw</t>
  </si>
  <si>
    <t>Peach puree</t>
  </si>
  <si>
    <t>30ml</t>
  </si>
  <si>
    <t>orange slice</t>
  </si>
  <si>
    <t>15ml</t>
  </si>
  <si>
    <t>VP Sauvignon Blanc</t>
  </si>
  <si>
    <t>35ml</t>
  </si>
  <si>
    <t>Apple Juice</t>
  </si>
  <si>
    <t>40ml</t>
  </si>
  <si>
    <t>[Dead] Dolls Pink Spritz</t>
  </si>
  <si>
    <t>Coupette</t>
  </si>
  <si>
    <t>Shake then top with fizz</t>
  </si>
  <si>
    <t>No ice</t>
  </si>
  <si>
    <t>Campari</t>
  </si>
  <si>
    <t>12.5ml</t>
  </si>
  <si>
    <t>Grapefruit coin</t>
  </si>
  <si>
    <t>Nothing</t>
  </si>
  <si>
    <t>St Germain Elderflower Liqueur</t>
  </si>
  <si>
    <t>Pink Grapefruit Juice</t>
  </si>
  <si>
    <t>c. 100ml</t>
  </si>
  <si>
    <t>Tweaked Classics</t>
  </si>
  <si>
    <t>Bloody Smoky</t>
  </si>
  <si>
    <t>Light shake</t>
  </si>
  <si>
    <t>laphroaig</t>
  </si>
  <si>
    <t>10ml</t>
  </si>
  <si>
    <t>pepper</t>
  </si>
  <si>
    <t>tomato juice</t>
  </si>
  <si>
    <t>80ml</t>
  </si>
  <si>
    <t>cucumber</t>
  </si>
  <si>
    <t>lemon juice</t>
  </si>
  <si>
    <t>celery</t>
  </si>
  <si>
    <t>tobasco</t>
  </si>
  <si>
    <t>1dash</t>
  </si>
  <si>
    <t>simple syrup</t>
  </si>
  <si>
    <t>5ml</t>
  </si>
  <si>
    <t xml:space="preserve">celery salt </t>
  </si>
  <si>
    <t>pinch</t>
  </si>
  <si>
    <t>horseraddish</t>
  </si>
  <si>
    <t>little spoon</t>
  </si>
  <si>
    <t>whorcester sauce</t>
  </si>
  <si>
    <t>2/3 dashes</t>
  </si>
  <si>
    <t>Tovaritch</t>
  </si>
  <si>
    <t>Pink Lady</t>
  </si>
  <si>
    <t>Shaken twice</t>
  </si>
  <si>
    <t>apple slice</t>
  </si>
  <si>
    <t>no straw</t>
  </si>
  <si>
    <t>BUT</t>
  </si>
  <si>
    <t>sugar syrup</t>
  </si>
  <si>
    <t>on side</t>
  </si>
  <si>
    <t>Single-strained</t>
  </si>
  <si>
    <t>grenadine</t>
  </si>
  <si>
    <t>little bit cherry syrup</t>
  </si>
  <si>
    <t>calvados</t>
  </si>
  <si>
    <t>on top</t>
  </si>
  <si>
    <t>Beefeater</t>
  </si>
  <si>
    <t>egg white</t>
  </si>
  <si>
    <t>Rye Cobbler</t>
  </si>
  <si>
    <t>Muddle fruit, add liquids</t>
  </si>
  <si>
    <t>Crushed</t>
  </si>
  <si>
    <t>pineapple chunk</t>
  </si>
  <si>
    <t>pineapple wedge</t>
  </si>
  <si>
    <t>Short shake</t>
  </si>
  <si>
    <t xml:space="preserve">orange slice </t>
  </si>
  <si>
    <t>Cointreau</t>
  </si>
  <si>
    <t>Rittenhouse Rye</t>
  </si>
  <si>
    <t>Calvados Sidecar</t>
  </si>
  <si>
    <t>Shake it shake it shake it</t>
  </si>
  <si>
    <t>Calvados</t>
  </si>
  <si>
    <t>Double strain</t>
  </si>
  <si>
    <t>Barrel-Aged Negroni</t>
  </si>
  <si>
    <t>Rocks glass</t>
  </si>
  <si>
    <t>Pour from the barrel</t>
  </si>
  <si>
    <t>Big ice</t>
  </si>
  <si>
    <t>Orange twist</t>
  </si>
  <si>
    <t>NO STRAW</t>
  </si>
  <si>
    <t>Antica Formula</t>
  </si>
  <si>
    <t>Bathtub Gin</t>
  </si>
  <si>
    <t>12 - factor the ageing</t>
  </si>
  <si>
    <t>Dessert cocktails</t>
  </si>
  <si>
    <t>Black Cow Milk Vodka</t>
  </si>
  <si>
    <t>shaken</t>
  </si>
  <si>
    <t>Three coffee beans</t>
  </si>
  <si>
    <t>No straw</t>
  </si>
  <si>
    <t>Espresso Martini</t>
  </si>
  <si>
    <t>Kahlua</t>
  </si>
  <si>
    <t>Espresso - fresh if poss</t>
  </si>
  <si>
    <t>Sugar</t>
  </si>
  <si>
    <t>To taste - 0 or 5ml</t>
  </si>
  <si>
    <t>Brandy Alexander</t>
  </si>
  <si>
    <t>Martel VS</t>
  </si>
  <si>
    <t>Grated nutmeg</t>
  </si>
  <si>
    <t>Crème de Cacao Blanc</t>
  </si>
  <si>
    <t>Crème de Cacao Brown</t>
  </si>
  <si>
    <t>Half and Half</t>
  </si>
  <si>
    <t>Irish Coffee</t>
  </si>
  <si>
    <t>Mini tankard</t>
  </si>
  <si>
    <t>Build - warm glass with</t>
  </si>
  <si>
    <t>Jamesons</t>
  </si>
  <si>
    <t>Warm half and half</t>
  </si>
  <si>
    <t>hot water first</t>
  </si>
  <si>
    <t>Sugar syrup</t>
  </si>
  <si>
    <t>and float on top</t>
  </si>
  <si>
    <t>Americano</t>
  </si>
  <si>
    <t>175ml</t>
  </si>
  <si>
    <t>Rocks</t>
  </si>
  <si>
    <t>Build alcohol; shake dairy</t>
  </si>
  <si>
    <t>White Russian</t>
  </si>
  <si>
    <t>hard and float</t>
  </si>
  <si>
    <t>100ml</t>
  </si>
  <si>
    <t>The Rest of the List</t>
  </si>
  <si>
    <t>Negroni</t>
  </si>
  <si>
    <t>Stir and pour over fresh ice</t>
  </si>
  <si>
    <t>Bellini</t>
  </si>
  <si>
    <t>Flute</t>
  </si>
  <si>
    <t>Build, gentle stir</t>
  </si>
  <si>
    <t>Crème de Peche</t>
  </si>
  <si>
    <t xml:space="preserve">Lemon wedge on </t>
  </si>
  <si>
    <t>outer edge of glass</t>
  </si>
  <si>
    <t>75ml</t>
  </si>
  <si>
    <t>Shake hard</t>
  </si>
  <si>
    <t>Old Fashioned</t>
  </si>
  <si>
    <t>Crush sugar cube and mix</t>
  </si>
  <si>
    <t>Buffalo Trace</t>
  </si>
  <si>
    <t>60ml</t>
  </si>
  <si>
    <t>into paste with bitters. Add</t>
  </si>
  <si>
    <t>Sugar cube</t>
  </si>
  <si>
    <t>ice &amp; BT 20ml by 20ml, stir</t>
  </si>
  <si>
    <t>Angostura bitters</t>
  </si>
  <si>
    <t>3 dashes</t>
  </si>
  <si>
    <t>Tommy's Margarita</t>
  </si>
  <si>
    <t>Cabrito Reposado</t>
  </si>
  <si>
    <t>Lime wedge on rim</t>
  </si>
  <si>
    <t>Agave Syrup</t>
  </si>
  <si>
    <t>Lime Juice</t>
  </si>
  <si>
    <t>Amaretto Sour</t>
  </si>
  <si>
    <t>Shaken twice - wet then dry</t>
  </si>
  <si>
    <t>Disaronno</t>
  </si>
  <si>
    <t>Cherry and lime</t>
  </si>
  <si>
    <t>wedge on cocktail stick</t>
  </si>
  <si>
    <t>Egg white</t>
  </si>
  <si>
    <t>Bitters as decorative</t>
  </si>
  <si>
    <t>plus cherry syrup</t>
  </si>
  <si>
    <t>One dash as garnish</t>
  </si>
  <si>
    <t>Comopolitan</t>
  </si>
  <si>
    <t>Shake and fine strain</t>
  </si>
  <si>
    <t>Flamed bit o' orange</t>
  </si>
  <si>
    <t>Cranberry juice</t>
  </si>
  <si>
    <t>peel, yo</t>
  </si>
  <si>
    <t>Lime juice</t>
  </si>
  <si>
    <t>Bramble</t>
  </si>
  <si>
    <t>Shake all but mure, pour</t>
  </si>
  <si>
    <t>In season berry.</t>
  </si>
  <si>
    <t>over ice, float liqueur - poured</t>
  </si>
  <si>
    <t>off a bar spoon - on the top</t>
  </si>
  <si>
    <t>Crème de Mure</t>
  </si>
  <si>
    <t>Caiprihinia</t>
  </si>
  <si>
    <t>Muddle, ice, liqueur, kinda</t>
  </si>
  <si>
    <t>Cachaca</t>
  </si>
  <si>
    <t>Crushed ice up like a</t>
  </si>
  <si>
    <t>stir, but not actual stirring</t>
  </si>
  <si>
    <t>Lime wedges</t>
  </si>
  <si>
    <t>cone</t>
  </si>
  <si>
    <t>Brown sugar</t>
  </si>
  <si>
    <t>One barspoon</t>
  </si>
  <si>
    <t>Singapore Sling</t>
  </si>
  <si>
    <t>Shake and then top up with</t>
  </si>
  <si>
    <t>Leaf of pineapple and</t>
  </si>
  <si>
    <t>Straw</t>
  </si>
  <si>
    <t>soda</t>
  </si>
  <si>
    <t>Cherry Heering Liqueur</t>
  </si>
  <si>
    <t>two cherries</t>
  </si>
  <si>
    <t>Benedictine DOM</t>
  </si>
  <si>
    <t>Pineapple Juice</t>
  </si>
  <si>
    <t>110ml</t>
  </si>
  <si>
    <t>Grenadine</t>
  </si>
  <si>
    <t>2 dash</t>
  </si>
  <si>
    <t>Daiquiri</t>
  </si>
  <si>
    <t>Ron Barcelo Imperial</t>
  </si>
  <si>
    <t>white sugar on rim</t>
  </si>
  <si>
    <t>FRUIT PUREE</t>
  </si>
  <si>
    <t>Pina Colada</t>
  </si>
  <si>
    <t>Cubed ice</t>
  </si>
  <si>
    <t>Ron Barcelo Dark</t>
  </si>
  <si>
    <t>Pineapple wedge</t>
  </si>
  <si>
    <t>Little umbrella</t>
  </si>
  <si>
    <t>Koko Kanu</t>
  </si>
  <si>
    <t>Half &amp; Half</t>
  </si>
  <si>
    <t>Coco Lopez</t>
  </si>
  <si>
    <t>Dry Gin Martini</t>
  </si>
  <si>
    <t>STIR, always STIR</t>
  </si>
  <si>
    <t>No ice, not even a chip</t>
  </si>
  <si>
    <t>Twist or olive as desired</t>
  </si>
  <si>
    <t>Noilly Pratt</t>
  </si>
  <si>
    <t xml:space="preserve">10ml (wash ice then </t>
  </si>
  <si>
    <t>discard)</t>
  </si>
  <si>
    <t>Gibson</t>
  </si>
  <si>
    <t>2 onions on a stick</t>
  </si>
  <si>
    <t>Dry Vodka Martini</t>
  </si>
  <si>
    <t xml:space="preserve">STIR. </t>
  </si>
  <si>
    <t>No ice at all</t>
  </si>
  <si>
    <t>Sipsmith Vodka</t>
  </si>
  <si>
    <t>Wet Gin Martini</t>
  </si>
  <si>
    <t>STIR</t>
  </si>
  <si>
    <t>Actual:11</t>
  </si>
  <si>
    <t>Wet Vodka Martini</t>
  </si>
  <si>
    <t>Dirty Dry Gin Martini</t>
  </si>
  <si>
    <t>Two olives on a stick</t>
  </si>
  <si>
    <t>Olive brine</t>
  </si>
  <si>
    <t>Dirty Dry Vodka Martini</t>
  </si>
  <si>
    <t>Dirty Wet Gin Martini</t>
  </si>
  <si>
    <t>Dirty Wet Vodka Martini</t>
  </si>
  <si>
    <t>Mojito</t>
  </si>
  <si>
    <t>build, stir</t>
  </si>
  <si>
    <t>Ron Barcelo Blanco</t>
  </si>
  <si>
    <t>Slapped mint sprig</t>
  </si>
  <si>
    <t xml:space="preserve">Two straws, wrapped </t>
  </si>
  <si>
    <t>around mint</t>
  </si>
  <si>
    <t>Lime</t>
  </si>
  <si>
    <t>Mint leaves</t>
  </si>
  <si>
    <t>6 to 8</t>
  </si>
  <si>
    <t>To top, if needed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</si>
</sst>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20.0"/>
      <name val="Arial"/>
    </font>
    <font/>
    <font>
      <sz val="10.0"/>
      <name val="Arial"/>
    </font>
    <font>
      <sz val="20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CF305"/>
        <bgColor rgb="FFFCF305"/>
      </patternFill>
    </fill>
    <fill>
      <patternFill patternType="solid">
        <fgColor rgb="FFFFFFFF"/>
        <bgColor rgb="FFFFFFFF"/>
      </patternFill>
    </fill>
  </fills>
  <borders count="3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C0C0C0"/>
      </top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000000"/>
      </bottom>
    </border>
    <border>
      <top style="thin">
        <color rgb="FFC0C0C0"/>
      </top>
      <bottom style="thin">
        <color rgb="FF000000"/>
      </bottom>
    </border>
    <border>
      <bottom style="thin">
        <color rgb="FFC0C0C0"/>
      </bottom>
    </border>
    <border>
      <left style="thin">
        <color rgb="FFC0C0C0"/>
      </lef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2" fontId="1" numFmtId="0" xfId="0" applyAlignment="1" applyBorder="1" applyFill="1" applyFont="1">
      <alignment horizontal="center" shrinkToFit="0" vertical="center" wrapText="0"/>
    </xf>
    <xf borderId="5" fillId="2" fontId="4" numFmtId="0" xfId="0" applyAlignment="1" applyBorder="1" applyFill="1" applyFont="1">
      <alignment horizontal="center" shrinkToFit="0" vertical="center" wrapText="0"/>
    </xf>
    <xf borderId="5" fillId="2" fontId="4" numFmtId="0" xfId="0" applyAlignment="1" applyBorder="1" applyFill="1" applyFont="1">
      <alignment horizontal="right" shrinkToFit="0" vertical="center" wrapText="0"/>
    </xf>
    <xf borderId="6" fillId="2" fontId="4" numFmtId="0" xfId="0" applyAlignment="1" applyBorder="1" applyFill="1" applyFont="1">
      <alignment horizontal="center" shrinkToFit="0" vertical="center" wrapText="0"/>
    </xf>
    <xf borderId="7" fillId="0" fontId="4" numFmtId="0" xfId="0" applyAlignment="1" applyBorder="1" applyFont="1">
      <alignment shrinkToFit="0" wrapText="0"/>
    </xf>
    <xf borderId="8" fillId="0" fontId="4" numFmtId="0" xfId="0" applyAlignment="1" applyBorder="1" applyFont="1">
      <alignment shrinkToFit="0" wrapText="0"/>
    </xf>
    <xf borderId="7" fillId="0" fontId="4" numFmtId="0" xfId="0" applyAlignment="1" applyBorder="1" applyFont="1">
      <alignment horizontal="right" shrinkToFit="0" wrapText="0"/>
    </xf>
    <xf borderId="9" fillId="0" fontId="4" numFmtId="0" xfId="0" applyAlignment="1" applyBorder="1" applyFont="1">
      <alignment shrinkToFit="0" wrapText="0"/>
    </xf>
    <xf borderId="0" fillId="0" fontId="4" numFmtId="0" xfId="0" applyAlignment="1" applyFont="1">
      <alignment shrinkToFit="0" wrapText="0"/>
    </xf>
    <xf borderId="9" fillId="0" fontId="4" numFmtId="0" xfId="0" applyAlignment="1" applyBorder="1" applyFont="1">
      <alignment horizontal="right" shrinkToFit="0" wrapText="0"/>
    </xf>
    <xf borderId="10" fillId="0" fontId="4" numFmtId="0" xfId="0" applyAlignment="1" applyBorder="1" applyFont="1">
      <alignment shrinkToFit="0" wrapText="0"/>
    </xf>
    <xf borderId="11" fillId="0" fontId="4" numFmtId="0" xfId="0" applyAlignment="1" applyBorder="1" applyFont="1">
      <alignment shrinkToFit="0" wrapText="0"/>
    </xf>
    <xf borderId="10" fillId="0" fontId="4" numFmtId="0" xfId="0" applyAlignment="1" applyBorder="1" applyFont="1">
      <alignment horizontal="right" shrinkToFit="0" wrapText="0"/>
    </xf>
    <xf borderId="12" fillId="0" fontId="4" numFmtId="0" xfId="0" applyAlignment="1" applyBorder="1" applyFont="1">
      <alignment shrinkToFit="0" wrapText="0"/>
    </xf>
    <xf borderId="13" fillId="0" fontId="4" numFmtId="0" xfId="0" applyAlignment="1" applyBorder="1" applyFont="1">
      <alignment shrinkToFit="0" wrapText="0"/>
    </xf>
    <xf borderId="12" fillId="0" fontId="4" numFmtId="0" xfId="0" applyAlignment="1" applyBorder="1" applyFont="1">
      <alignment horizontal="right" shrinkToFit="0" wrapText="0"/>
    </xf>
    <xf borderId="14" fillId="0" fontId="4" numFmtId="0" xfId="0" applyAlignment="1" applyBorder="1" applyFont="1">
      <alignment shrinkToFit="0" wrapText="0"/>
    </xf>
    <xf borderId="14" fillId="0" fontId="4" numFmtId="0" xfId="0" applyAlignment="1" applyBorder="1" applyFont="1">
      <alignment horizontal="right" shrinkToFit="0" wrapText="0"/>
    </xf>
    <xf borderId="15" fillId="0" fontId="4" numFmtId="0" xfId="0" applyAlignment="1" applyBorder="1" applyFont="1">
      <alignment shrinkToFit="0" wrapText="0"/>
    </xf>
    <xf borderId="15" fillId="0" fontId="4" numFmtId="0" xfId="0" applyAlignment="1" applyBorder="1" applyFont="1">
      <alignment horizontal="right" shrinkToFit="0" wrapText="0"/>
    </xf>
    <xf borderId="16" fillId="2" fontId="1" numFmtId="0" xfId="0" applyAlignment="1" applyBorder="1" applyFill="1" applyFont="1">
      <alignment horizontal="center" shrinkToFit="0" vertical="center" wrapText="0"/>
    </xf>
    <xf borderId="17" fillId="2" fontId="4" numFmtId="0" xfId="0" applyAlignment="1" applyBorder="1" applyFill="1" applyFont="1">
      <alignment horizontal="center" shrinkToFit="0" vertical="center" wrapText="0"/>
    </xf>
    <xf borderId="17" fillId="2" fontId="4" numFmtId="0" xfId="0" applyAlignment="1" applyBorder="1" applyFill="1" applyFont="1">
      <alignment horizontal="right" shrinkToFit="0" vertical="center" wrapText="0"/>
    </xf>
    <xf borderId="18" fillId="2" fontId="4" numFmtId="0" xfId="0" applyAlignment="1" applyBorder="1" applyFill="1" applyFont="1">
      <alignment horizontal="center" shrinkToFit="0" vertical="center" wrapText="0"/>
    </xf>
    <xf borderId="19" fillId="0" fontId="4" numFmtId="0" xfId="0" applyAlignment="1" applyBorder="1" applyFont="1">
      <alignment shrinkToFit="0" wrapText="0"/>
    </xf>
    <xf borderId="20" fillId="0" fontId="4" numFmtId="0" xfId="0" applyAlignment="1" applyBorder="1" applyFont="1">
      <alignment shrinkToFit="0" wrapText="0"/>
    </xf>
    <xf borderId="21" fillId="2" fontId="4" numFmtId="0" xfId="0" applyAlignment="1" applyBorder="1" applyFill="1" applyFont="1">
      <alignment horizontal="center" shrinkToFit="0" vertical="center" wrapText="0"/>
    </xf>
    <xf borderId="21" fillId="2" fontId="4" numFmtId="0" xfId="0" applyAlignment="1" applyBorder="1" applyFill="1" applyFont="1">
      <alignment horizontal="right" shrinkToFit="0" vertical="center" wrapText="0"/>
    </xf>
    <xf borderId="22" fillId="2" fontId="4" numFmtId="0" xfId="0" applyAlignment="1" applyBorder="1" applyFill="1" applyFont="1">
      <alignment horizontal="center" shrinkToFit="0" vertical="center" wrapText="0"/>
    </xf>
    <xf borderId="23" fillId="0" fontId="4" numFmtId="0" xfId="0" applyAlignment="1" applyBorder="1" applyFont="1">
      <alignment horizontal="left" shrinkToFit="0" vertical="center" wrapText="0"/>
    </xf>
    <xf borderId="23" fillId="3" fontId="4" numFmtId="0" xfId="0" applyAlignment="1" applyBorder="1" applyFill="1" applyFont="1">
      <alignment horizontal="left" shrinkToFit="0" vertical="center" wrapText="0"/>
    </xf>
    <xf borderId="23" fillId="3" fontId="4" numFmtId="0" xfId="0" applyAlignment="1" applyBorder="1" applyFill="1" applyFont="1">
      <alignment horizontal="right" shrinkToFit="0" vertical="center" wrapText="0"/>
    </xf>
    <xf borderId="24" fillId="3" fontId="4" numFmtId="0" xfId="0" applyAlignment="1" applyBorder="1" applyFill="1" applyFont="1">
      <alignment horizontal="left" shrinkToFit="0" vertical="center" wrapText="0"/>
    </xf>
    <xf borderId="24" fillId="3" fontId="4" numFmtId="0" xfId="0" applyAlignment="1" applyBorder="1" applyFill="1" applyFont="1">
      <alignment horizontal="right" shrinkToFit="0" vertical="center" wrapText="0"/>
    </xf>
    <xf borderId="25" fillId="0" fontId="4" numFmtId="0" xfId="0" applyAlignment="1" applyBorder="1" applyFont="1">
      <alignment shrinkToFit="0" wrapText="0"/>
    </xf>
    <xf borderId="24" fillId="0" fontId="4" numFmtId="0" xfId="0" applyAlignment="1" applyBorder="1" applyFont="1">
      <alignment shrinkToFit="0" wrapText="0"/>
    </xf>
    <xf borderId="26" fillId="0" fontId="4" numFmtId="0" xfId="0" applyAlignment="1" applyBorder="1" applyFont="1">
      <alignment shrinkToFit="0" wrapText="0"/>
    </xf>
    <xf borderId="24" fillId="0" fontId="4" numFmtId="0" xfId="0" applyAlignment="1" applyBorder="1" applyFont="1">
      <alignment horizontal="right" shrinkToFit="0" wrapText="0"/>
    </xf>
    <xf borderId="27" fillId="0" fontId="1" numFmtId="0" xfId="0" applyAlignment="1" applyBorder="1" applyFont="1">
      <alignment horizontal="center" shrinkToFit="0" vertical="center" wrapText="0"/>
    </xf>
    <xf borderId="28" fillId="3" fontId="4" numFmtId="0" xfId="0" applyAlignment="1" applyBorder="1" applyFill="1" applyFont="1">
      <alignment horizontal="center" shrinkToFit="0" vertical="center" wrapText="0"/>
    </xf>
    <xf borderId="29" fillId="3" fontId="4" numFmtId="0" xfId="0" applyAlignment="1" applyBorder="1" applyFill="1" applyFont="1">
      <alignment horizontal="center" shrinkToFit="0" vertical="center" wrapText="0"/>
    </xf>
    <xf borderId="30" fillId="0" fontId="4" numFmtId="0" xfId="0" applyAlignment="1" applyBorder="1" applyFont="1">
      <alignment shrinkToFit="0" wrapText="0"/>
    </xf>
    <xf borderId="13" fillId="0" fontId="3" numFmtId="0" xfId="0" applyAlignment="1" applyBorder="1" applyFont="1">
      <alignment shrinkToFit="0" wrapText="0"/>
    </xf>
    <xf borderId="31" fillId="0" fontId="4" numFmtId="0" xfId="0" applyAlignment="1" applyBorder="1" applyFont="1">
      <alignment shrinkToFit="0" wrapText="0"/>
    </xf>
    <xf borderId="24" fillId="3" fontId="1" numFmtId="0" xfId="0" applyAlignment="1" applyBorder="1" applyFill="1" applyFont="1">
      <alignment horizontal="center" shrinkToFit="0" vertical="center" wrapText="0"/>
    </xf>
    <xf borderId="24" fillId="3" fontId="4" numFmtId="0" xfId="0" applyAlignment="1" applyBorder="1" applyFill="1" applyFont="1">
      <alignment horizontal="center" shrinkToFit="0" vertical="center" wrapText="0"/>
    </xf>
    <xf borderId="32" fillId="3" fontId="4" numFmtId="0" xfId="0" applyAlignment="1" applyBorder="1" applyFill="1" applyFont="1">
      <alignment horizontal="center" shrinkToFit="0" vertical="center" wrapText="0"/>
    </xf>
    <xf borderId="32" fillId="3" fontId="4" numFmtId="0" xfId="0" applyAlignment="1" applyBorder="1" applyFill="1" applyFont="1">
      <alignment horizontal="left" shrinkToFit="0" vertical="center" wrapText="0"/>
    </xf>
    <xf borderId="33" fillId="0" fontId="4" numFmtId="0" xfId="0" applyAlignment="1" applyBorder="1" applyFont="1">
      <alignment shrinkToFit="0" wrapText="0"/>
    </xf>
    <xf borderId="34" fillId="0" fontId="4" numFmtId="0" xfId="0" applyAlignment="1" applyBorder="1" applyFont="1">
      <alignment shrinkToFit="0" wrapText="0"/>
    </xf>
    <xf borderId="33" fillId="0" fontId="4" numFmtId="0" xfId="0" applyAlignment="1" applyBorder="1" applyFont="1">
      <alignment horizontal="right" shrinkToFit="0" wrapText="0"/>
    </xf>
    <xf borderId="0" fillId="0" fontId="4" numFmtId="0" xfId="0" applyAlignment="1" applyFont="1">
      <alignment horizontal="right" shrinkToFit="0" wrapText="0"/>
    </xf>
    <xf borderId="0" fillId="0" fontId="3" numFmtId="0" xfId="0" applyAlignment="1" applyFont="1">
      <alignment shrinkToFit="0" wrapText="0"/>
    </xf>
    <xf borderId="9" fillId="0" fontId="4" numFmtId="16" xfId="0" applyAlignment="1" applyBorder="1" applyFont="1" applyNumberFormat="1">
      <alignment horizontal="right" shrinkToFit="0" wrapText="0"/>
    </xf>
    <xf borderId="35" fillId="0" fontId="3" numFmtId="0" xfId="0" applyAlignment="1" applyBorder="1" applyFont="1">
      <alignment shrinkToFit="0" wrapText="0"/>
    </xf>
    <xf borderId="36" fillId="0" fontId="3" numFmtId="0" xfId="0" applyAlignment="1" applyBorder="1" applyFont="1">
      <alignment shrinkToFit="0" wrapText="0"/>
    </xf>
    <xf borderId="0" fillId="0" fontId="3" numFmtId="0" xfId="0" applyAlignment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9.13"/>
    <col customWidth="1" min="2" max="2" width="33.63"/>
    <col customWidth="1" min="3" max="3" width="40.75"/>
    <col customWidth="1" min="4" max="4" width="35.13"/>
    <col customWidth="1" min="5" max="8" width="33.63"/>
    <col customWidth="1" min="9" max="9" width="34.75"/>
    <col customWidth="1" min="10" max="10" width="14.13"/>
    <col customWidth="1" min="11" max="20" width="7.75"/>
    <col customWidth="1" min="21" max="26" width="7.0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5" t="s">
        <v>1</v>
      </c>
      <c r="B2" s="6"/>
      <c r="C2" s="6"/>
      <c r="D2" s="6"/>
      <c r="E2" s="6"/>
      <c r="F2" s="7"/>
      <c r="G2" s="6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9" t="s">
        <v>2</v>
      </c>
      <c r="B3" s="10" t="s">
        <v>3</v>
      </c>
      <c r="C3" s="9" t="s">
        <v>4</v>
      </c>
      <c r="D3" s="9" t="s">
        <v>5</v>
      </c>
      <c r="E3" s="9" t="s">
        <v>6</v>
      </c>
      <c r="F3" s="11" t="s">
        <v>7</v>
      </c>
      <c r="G3" s="9" t="s">
        <v>8</v>
      </c>
      <c r="H3" s="9" t="s">
        <v>9</v>
      </c>
      <c r="I3" s="9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12" t="s">
        <v>11</v>
      </c>
      <c r="B4" s="13" t="s">
        <v>12</v>
      </c>
      <c r="C4" s="12" t="s">
        <v>13</v>
      </c>
      <c r="D4" s="12" t="s">
        <v>14</v>
      </c>
      <c r="E4" s="12" t="s">
        <v>15</v>
      </c>
      <c r="F4" s="14" t="s">
        <v>16</v>
      </c>
      <c r="G4" s="12" t="s">
        <v>17</v>
      </c>
      <c r="H4" s="12" t="s">
        <v>18</v>
      </c>
      <c r="I4" s="9">
        <f>((5/70)*9.83)+(7/75)*6</f>
        <v>1.262142857</v>
      </c>
      <c r="J4" s="12" t="s">
        <v>19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12"/>
      <c r="B5" s="13"/>
      <c r="C5" s="12"/>
      <c r="D5" s="12"/>
      <c r="E5" s="12" t="s">
        <v>20</v>
      </c>
      <c r="F5" s="14" t="s">
        <v>21</v>
      </c>
      <c r="G5" s="12"/>
      <c r="H5" s="12"/>
      <c r="I5" s="9">
        <f>I4/0.2</f>
        <v>6.310714286</v>
      </c>
      <c r="J5" s="12" t="s">
        <v>22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12"/>
      <c r="B6" s="13"/>
      <c r="C6" s="12"/>
      <c r="D6" s="12"/>
      <c r="E6" s="12" t="s">
        <v>23</v>
      </c>
      <c r="F6" s="14" t="s">
        <v>24</v>
      </c>
      <c r="G6" s="12"/>
      <c r="H6" s="12"/>
      <c r="I6" s="9">
        <v>8.0</v>
      </c>
      <c r="J6" s="12" t="s">
        <v>25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15" t="s">
        <v>26</v>
      </c>
      <c r="B7" s="16" t="s">
        <v>27</v>
      </c>
      <c r="C7" s="15" t="s">
        <v>28</v>
      </c>
      <c r="D7" s="15" t="s">
        <v>29</v>
      </c>
      <c r="E7" s="15" t="s">
        <v>30</v>
      </c>
      <c r="F7" s="17" t="s">
        <v>16</v>
      </c>
      <c r="G7" s="15" t="s">
        <v>31</v>
      </c>
      <c r="H7" s="15" t="s">
        <v>32</v>
      </c>
      <c r="I7" s="9">
        <f>((5/75)*8.54)+((2/100)*3.75)+((1/7)*1)</f>
        <v>0.7871904762</v>
      </c>
      <c r="J7" s="12" t="s">
        <v>19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12"/>
      <c r="B8" s="13"/>
      <c r="C8" s="12"/>
      <c r="D8" s="12"/>
      <c r="E8" s="12" t="s">
        <v>33</v>
      </c>
      <c r="F8" s="14" t="s">
        <v>34</v>
      </c>
      <c r="G8" s="12"/>
      <c r="H8" s="12"/>
      <c r="I8" s="9">
        <f>I7/0.2</f>
        <v>3.935952381</v>
      </c>
      <c r="J8" s="12" t="s">
        <v>22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12"/>
      <c r="B9" s="13"/>
      <c r="C9" s="12"/>
      <c r="D9" s="12"/>
      <c r="E9" s="12" t="s">
        <v>35</v>
      </c>
      <c r="F9" s="14" t="s">
        <v>34</v>
      </c>
      <c r="G9" s="12"/>
      <c r="H9" s="12"/>
      <c r="I9" s="9">
        <v>8.0</v>
      </c>
      <c r="J9" s="12" t="s">
        <v>25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18"/>
      <c r="B10" s="19"/>
      <c r="C10" s="18"/>
      <c r="D10" s="18"/>
      <c r="E10" s="18" t="s">
        <v>23</v>
      </c>
      <c r="F10" s="20" t="s">
        <v>36</v>
      </c>
      <c r="G10" s="18"/>
      <c r="H10" s="18"/>
      <c r="I10" s="9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21" t="s">
        <v>37</v>
      </c>
      <c r="B11" s="21" t="s">
        <v>27</v>
      </c>
      <c r="C11" s="21" t="s">
        <v>38</v>
      </c>
      <c r="D11" s="21" t="s">
        <v>29</v>
      </c>
      <c r="E11" s="21" t="s">
        <v>39</v>
      </c>
      <c r="F11" s="22" t="s">
        <v>40</v>
      </c>
      <c r="G11" s="21" t="s">
        <v>41</v>
      </c>
      <c r="H11" s="12" t="s">
        <v>42</v>
      </c>
      <c r="I11" s="9">
        <f>((2.5/70)*9.83)+((0.1/5000)*27.54)+((2/100)*3.75)+((15/700)*1)+((35/750)*7)+((40/8000)*9.99)</f>
        <v>0.8246674667</v>
      </c>
      <c r="J11" s="12" t="s">
        <v>19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21"/>
      <c r="B12" s="21"/>
      <c r="C12" s="21"/>
      <c r="D12" s="21"/>
      <c r="E12" s="21" t="s">
        <v>43</v>
      </c>
      <c r="F12" s="22" t="s">
        <v>44</v>
      </c>
      <c r="G12" s="21" t="s">
        <v>45</v>
      </c>
      <c r="H12" s="12"/>
      <c r="I12" s="9">
        <f>I11/0.2</f>
        <v>4.123337333</v>
      </c>
      <c r="J12" s="12" t="s">
        <v>22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21"/>
      <c r="B13" s="21"/>
      <c r="C13" s="21"/>
      <c r="D13" s="21"/>
      <c r="E13" s="21" t="s">
        <v>33</v>
      </c>
      <c r="F13" s="22" t="s">
        <v>34</v>
      </c>
      <c r="G13" s="21"/>
      <c r="H13" s="12"/>
      <c r="I13" s="9">
        <v>8.0</v>
      </c>
      <c r="J13" s="12" t="s">
        <v>25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21"/>
      <c r="B14" s="21"/>
      <c r="C14" s="21"/>
      <c r="D14" s="21"/>
      <c r="E14" s="21" t="s">
        <v>35</v>
      </c>
      <c r="F14" s="22" t="s">
        <v>46</v>
      </c>
      <c r="G14" s="21"/>
      <c r="H14" s="12"/>
      <c r="I14" s="9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21"/>
      <c r="B15" s="21"/>
      <c r="C15" s="21"/>
      <c r="D15" s="21"/>
      <c r="E15" s="21" t="s">
        <v>47</v>
      </c>
      <c r="F15" s="22" t="s">
        <v>48</v>
      </c>
      <c r="G15" s="21"/>
      <c r="H15" s="12"/>
      <c r="I15" s="9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23"/>
      <c r="B16" s="23"/>
      <c r="C16" s="23"/>
      <c r="D16" s="23"/>
      <c r="E16" s="23" t="s">
        <v>49</v>
      </c>
      <c r="F16" s="24" t="s">
        <v>50</v>
      </c>
      <c r="G16" s="23"/>
      <c r="H16" s="18"/>
      <c r="I16" s="9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12" t="s">
        <v>51</v>
      </c>
      <c r="B17" s="13" t="s">
        <v>52</v>
      </c>
      <c r="C17" s="12" t="s">
        <v>53</v>
      </c>
      <c r="D17" s="12" t="s">
        <v>54</v>
      </c>
      <c r="E17" s="12" t="s">
        <v>55</v>
      </c>
      <c r="F17" s="14" t="s">
        <v>56</v>
      </c>
      <c r="G17" s="12" t="s">
        <v>57</v>
      </c>
      <c r="H17" s="12" t="s">
        <v>58</v>
      </c>
      <c r="I17" s="9">
        <f>(12.5/700)*11.96+(25/700)*17.69+(25/8000)*11.99+(100/750)*6</f>
        <v>1.682825893</v>
      </c>
      <c r="J17" s="12" t="s">
        <v>19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12"/>
      <c r="B18" s="13"/>
      <c r="C18" s="12"/>
      <c r="D18" s="12"/>
      <c r="E18" s="12" t="s">
        <v>59</v>
      </c>
      <c r="F18" s="14" t="s">
        <v>40</v>
      </c>
      <c r="G18" s="12"/>
      <c r="H18" s="12"/>
      <c r="I18" s="9">
        <f>I17/0.2</f>
        <v>8.414129464</v>
      </c>
      <c r="J18" s="12" t="s">
        <v>22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12"/>
      <c r="B19" s="13"/>
      <c r="C19" s="12"/>
      <c r="D19" s="12"/>
      <c r="E19" s="12" t="s">
        <v>60</v>
      </c>
      <c r="F19" s="14" t="s">
        <v>40</v>
      </c>
      <c r="G19" s="12"/>
      <c r="H19" s="12"/>
      <c r="I19" s="9">
        <v>8.5</v>
      </c>
      <c r="J19" s="12" t="s">
        <v>25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12"/>
      <c r="B20" s="13"/>
      <c r="C20" s="12"/>
      <c r="D20" s="12"/>
      <c r="E20" s="12" t="s">
        <v>20</v>
      </c>
      <c r="F20" s="14" t="s">
        <v>61</v>
      </c>
      <c r="G20" s="12"/>
      <c r="H20" s="12"/>
      <c r="I20" s="9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7.0" customHeight="1">
      <c r="A21" s="25" t="s">
        <v>62</v>
      </c>
      <c r="B21" s="26"/>
      <c r="C21" s="26"/>
      <c r="D21" s="26"/>
      <c r="E21" s="26"/>
      <c r="F21" s="27"/>
      <c r="G21" s="26"/>
      <c r="H21" s="28"/>
      <c r="I21" s="9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15" t="s">
        <v>63</v>
      </c>
      <c r="B22" s="16" t="s">
        <v>27</v>
      </c>
      <c r="C22" s="15" t="s">
        <v>64</v>
      </c>
      <c r="D22" s="15" t="s">
        <v>29</v>
      </c>
      <c r="E22" s="15" t="s">
        <v>65</v>
      </c>
      <c r="F22" s="17" t="s">
        <v>66</v>
      </c>
      <c r="G22" s="15" t="s">
        <v>67</v>
      </c>
      <c r="H22" s="15" t="s">
        <v>42</v>
      </c>
      <c r="I22" s="9">
        <f>(10/700)*26.81+(80/8000)*9.99+(15/1000)*3.75+(5/350)*9.25+(5/700)*1+(40/700)*10.84</f>
        <v>1.297864286</v>
      </c>
      <c r="J22" s="12" t="s">
        <v>19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12"/>
      <c r="B23" s="13"/>
      <c r="C23" s="12"/>
      <c r="D23" s="12"/>
      <c r="E23" s="12" t="s">
        <v>68</v>
      </c>
      <c r="F23" s="14" t="s">
        <v>69</v>
      </c>
      <c r="G23" s="12" t="s">
        <v>70</v>
      </c>
      <c r="H23" s="12"/>
      <c r="I23" s="9">
        <f>I22/0.2</f>
        <v>6.489321429</v>
      </c>
      <c r="J23" s="12" t="s">
        <v>22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12"/>
      <c r="B24" s="13"/>
      <c r="C24" s="12"/>
      <c r="D24" s="12"/>
      <c r="E24" s="12" t="s">
        <v>71</v>
      </c>
      <c r="F24" s="14" t="s">
        <v>46</v>
      </c>
      <c r="G24" s="12" t="s">
        <v>72</v>
      </c>
      <c r="H24" s="12"/>
      <c r="I24" s="9">
        <v>8.0</v>
      </c>
      <c r="J24" s="12" t="s">
        <v>25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12"/>
      <c r="B25" s="13"/>
      <c r="C25" s="12"/>
      <c r="D25" s="12"/>
      <c r="E25" s="12" t="s">
        <v>73</v>
      </c>
      <c r="F25" s="14" t="s">
        <v>74</v>
      </c>
      <c r="G25" s="12" t="s">
        <v>41</v>
      </c>
      <c r="H25" s="12"/>
      <c r="I25" s="9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12"/>
      <c r="B26" s="13"/>
      <c r="C26" s="12"/>
      <c r="D26" s="12"/>
      <c r="E26" s="12" t="s">
        <v>75</v>
      </c>
      <c r="F26" s="14" t="s">
        <v>76</v>
      </c>
      <c r="G26" s="12"/>
      <c r="H26" s="12"/>
      <c r="I26" s="9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12"/>
      <c r="B27" s="13"/>
      <c r="C27" s="12"/>
      <c r="D27" s="12"/>
      <c r="E27" s="12" t="s">
        <v>77</v>
      </c>
      <c r="F27" s="14" t="s">
        <v>78</v>
      </c>
      <c r="G27" s="12"/>
      <c r="H27" s="12"/>
      <c r="I27" s="9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12"/>
      <c r="B28" s="13"/>
      <c r="C28" s="12"/>
      <c r="D28" s="12"/>
      <c r="E28" s="12" t="s">
        <v>79</v>
      </c>
      <c r="F28" s="14" t="s">
        <v>80</v>
      </c>
      <c r="G28" s="12"/>
      <c r="H28" s="12"/>
      <c r="I28" s="9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12"/>
      <c r="B29" s="13"/>
      <c r="C29" s="12"/>
      <c r="D29" s="12"/>
      <c r="E29" s="12" t="s">
        <v>81</v>
      </c>
      <c r="F29" s="14" t="s">
        <v>82</v>
      </c>
      <c r="G29" s="12"/>
      <c r="H29" s="12"/>
      <c r="I29" s="9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18"/>
      <c r="B30" s="19"/>
      <c r="C30" s="18"/>
      <c r="D30" s="18"/>
      <c r="E30" s="18" t="s">
        <v>83</v>
      </c>
      <c r="F30" s="20" t="s">
        <v>50</v>
      </c>
      <c r="G30" s="18"/>
      <c r="H30" s="18"/>
      <c r="I30" s="9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12" t="s">
        <v>84</v>
      </c>
      <c r="B31" s="13" t="s">
        <v>52</v>
      </c>
      <c r="C31" s="12" t="s">
        <v>85</v>
      </c>
      <c r="D31" s="12" t="s">
        <v>54</v>
      </c>
      <c r="E31" s="12" t="s">
        <v>71</v>
      </c>
      <c r="F31" s="14" t="s">
        <v>44</v>
      </c>
      <c r="G31" s="12" t="s">
        <v>86</v>
      </c>
      <c r="H31" s="12" t="s">
        <v>87</v>
      </c>
      <c r="I31" s="9">
        <f>(20/1000)*3.75+(10/700)*1+(10/700)*3.85+(25/700)*17.25+(25/700)*11.6+(25/1000)*2.33</f>
        <v>1.232892857</v>
      </c>
      <c r="J31" s="12" t="s">
        <v>19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12"/>
      <c r="B32" s="13"/>
      <c r="C32" s="12" t="s">
        <v>88</v>
      </c>
      <c r="D32" s="12"/>
      <c r="E32" s="12" t="s">
        <v>89</v>
      </c>
      <c r="F32" s="14" t="s">
        <v>66</v>
      </c>
      <c r="G32" s="12" t="s">
        <v>90</v>
      </c>
      <c r="H32" s="12"/>
      <c r="I32" s="9">
        <f>I31/0.2</f>
        <v>6.164464286</v>
      </c>
      <c r="J32" s="12" t="s">
        <v>22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12"/>
      <c r="B33" s="13"/>
      <c r="C33" s="12" t="s">
        <v>91</v>
      </c>
      <c r="D33" s="12"/>
      <c r="E33" s="12" t="s">
        <v>92</v>
      </c>
      <c r="F33" s="14" t="s">
        <v>66</v>
      </c>
      <c r="G33" s="12" t="s">
        <v>93</v>
      </c>
      <c r="H33" s="12"/>
      <c r="I33" s="9">
        <v>8.0</v>
      </c>
      <c r="J33" s="12" t="s">
        <v>25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12"/>
      <c r="B34" s="13"/>
      <c r="C34" s="12"/>
      <c r="D34" s="12"/>
      <c r="E34" s="12" t="s">
        <v>94</v>
      </c>
      <c r="F34" s="14" t="s">
        <v>40</v>
      </c>
      <c r="G34" s="12" t="s">
        <v>95</v>
      </c>
      <c r="H34" s="12"/>
      <c r="I34" s="9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12"/>
      <c r="B35" s="13"/>
      <c r="C35" s="12"/>
      <c r="D35" s="12"/>
      <c r="E35" s="12" t="s">
        <v>96</v>
      </c>
      <c r="F35" s="14" t="s">
        <v>40</v>
      </c>
      <c r="G35" s="12"/>
      <c r="H35" s="12"/>
      <c r="I35" s="9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29"/>
      <c r="B36" s="23"/>
      <c r="C36" s="23"/>
      <c r="D36" s="23"/>
      <c r="E36" s="23" t="s">
        <v>97</v>
      </c>
      <c r="F36" s="24" t="s">
        <v>40</v>
      </c>
      <c r="G36" s="23"/>
      <c r="H36" s="23"/>
      <c r="I36" s="9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12" t="s">
        <v>98</v>
      </c>
      <c r="B37" s="13" t="s">
        <v>27</v>
      </c>
      <c r="C37" s="12" t="s">
        <v>99</v>
      </c>
      <c r="D37" s="12" t="s">
        <v>100</v>
      </c>
      <c r="E37" s="12" t="s">
        <v>101</v>
      </c>
      <c r="F37" s="14">
        <v>1.0</v>
      </c>
      <c r="G37" s="12" t="s">
        <v>102</v>
      </c>
      <c r="H37" s="12" t="s">
        <v>42</v>
      </c>
      <c r="I37" s="9">
        <f>0.3+(10/700)*15.89+(10/700)*1+(50/700)*19.13</f>
        <v>1.907714286</v>
      </c>
      <c r="J37" s="12" t="s">
        <v>19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12"/>
      <c r="B38" s="13"/>
      <c r="C38" s="12" t="s">
        <v>103</v>
      </c>
      <c r="D38" s="12"/>
      <c r="E38" s="12" t="s">
        <v>41</v>
      </c>
      <c r="F38" s="14">
        <v>1.0</v>
      </c>
      <c r="G38" s="12" t="s">
        <v>41</v>
      </c>
      <c r="H38" s="12"/>
      <c r="I38" s="9">
        <f>I37/0.2</f>
        <v>9.538571429</v>
      </c>
      <c r="J38" s="12" t="s">
        <v>22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12"/>
      <c r="B39" s="13"/>
      <c r="C39" s="12"/>
      <c r="D39" s="12"/>
      <c r="E39" s="12" t="s">
        <v>45</v>
      </c>
      <c r="F39" s="14">
        <v>1.0</v>
      </c>
      <c r="G39" s="12" t="s">
        <v>104</v>
      </c>
      <c r="H39" s="12"/>
      <c r="I39" s="9">
        <v>9.6</v>
      </c>
      <c r="J39" s="12" t="s">
        <v>25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6.25" customHeight="1">
      <c r="A40" s="12"/>
      <c r="B40" s="13"/>
      <c r="C40" s="12"/>
      <c r="D40" s="12"/>
      <c r="E40" s="12" t="s">
        <v>105</v>
      </c>
      <c r="F40" s="14" t="s">
        <v>66</v>
      </c>
      <c r="G40" s="12"/>
      <c r="H40" s="12"/>
      <c r="I40" s="9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6.25" customHeight="1">
      <c r="A41" s="12"/>
      <c r="B41" s="13"/>
      <c r="C41" s="12"/>
      <c r="D41" s="12"/>
      <c r="E41" s="12" t="s">
        <v>89</v>
      </c>
      <c r="F41" s="14" t="s">
        <v>66</v>
      </c>
      <c r="G41" s="12"/>
      <c r="H41" s="12"/>
      <c r="I41" s="9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6.25" customHeight="1">
      <c r="A42" s="18"/>
      <c r="B42" s="19"/>
      <c r="C42" s="18"/>
      <c r="D42" s="18"/>
      <c r="E42" s="18" t="s">
        <v>106</v>
      </c>
      <c r="F42" s="20" t="s">
        <v>16</v>
      </c>
      <c r="G42" s="18"/>
      <c r="H42" s="18"/>
      <c r="I42" s="9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6.25" customHeight="1">
      <c r="A43" s="12" t="s">
        <v>107</v>
      </c>
      <c r="B43" s="13" t="s">
        <v>52</v>
      </c>
      <c r="C43" s="12" t="s">
        <v>108</v>
      </c>
      <c r="D43" s="21" t="s">
        <v>54</v>
      </c>
      <c r="E43" s="12" t="s">
        <v>109</v>
      </c>
      <c r="F43" s="14" t="s">
        <v>50</v>
      </c>
      <c r="G43" s="30" t="s">
        <v>86</v>
      </c>
      <c r="H43" s="12"/>
      <c r="I43" s="9">
        <f>(50/700)*17.25+(20/700)*15.89+(20/1000)*3.75</f>
        <v>1.761142857</v>
      </c>
      <c r="J43" s="12" t="s">
        <v>19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6.25" customHeight="1">
      <c r="A44" s="12"/>
      <c r="B44" s="13"/>
      <c r="C44" s="12" t="s">
        <v>110</v>
      </c>
      <c r="D44" s="21"/>
      <c r="E44" s="12" t="s">
        <v>105</v>
      </c>
      <c r="F44" s="14" t="s">
        <v>34</v>
      </c>
      <c r="G44" s="30"/>
      <c r="H44" s="12"/>
      <c r="I44" s="9"/>
      <c r="J44" s="12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6.25" customHeight="1">
      <c r="A45" s="12"/>
      <c r="B45" s="13"/>
      <c r="C45" s="12"/>
      <c r="D45" s="21"/>
      <c r="E45" s="12" t="s">
        <v>33</v>
      </c>
      <c r="F45" s="14" t="s">
        <v>34</v>
      </c>
      <c r="G45" s="30"/>
      <c r="H45" s="12"/>
      <c r="I45" s="9">
        <f>I43/0.2</f>
        <v>8.805714286</v>
      </c>
      <c r="J45" s="12" t="s">
        <v>22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6.25" customHeight="1">
      <c r="A46" s="12"/>
      <c r="B46" s="23"/>
      <c r="C46" s="18"/>
      <c r="D46" s="23"/>
      <c r="E46" s="18" t="s">
        <v>35</v>
      </c>
      <c r="F46" s="20" t="s">
        <v>46</v>
      </c>
      <c r="G46" s="29"/>
      <c r="H46" s="12"/>
      <c r="I46" s="9">
        <v>9.0</v>
      </c>
      <c r="J46" s="12" t="s">
        <v>25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6.25" hidden="1" customHeight="1">
      <c r="A47" s="18"/>
      <c r="B47" s="19"/>
      <c r="C47" s="18"/>
      <c r="D47" s="23"/>
      <c r="E47" s="18"/>
      <c r="F47" s="20"/>
      <c r="G47" s="18"/>
      <c r="H47" s="12"/>
      <c r="I47" s="9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6.25" customHeight="1">
      <c r="A48" s="15" t="s">
        <v>111</v>
      </c>
      <c r="B48" s="13" t="s">
        <v>112</v>
      </c>
      <c r="C48" s="12" t="s">
        <v>113</v>
      </c>
      <c r="D48" s="15" t="s">
        <v>114</v>
      </c>
      <c r="E48" s="21" t="s">
        <v>55</v>
      </c>
      <c r="F48" s="17" t="s">
        <v>40</v>
      </c>
      <c r="G48" s="30" t="s">
        <v>115</v>
      </c>
      <c r="H48" s="15" t="s">
        <v>116</v>
      </c>
      <c r="I48" s="9">
        <f>(25/700)*11.96+(25/1000)*20.74+(25/700)*23.76</f>
        <v>1.794214286</v>
      </c>
      <c r="J48" s="12" t="s">
        <v>19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6.25" customHeight="1">
      <c r="A49" s="12"/>
      <c r="B49" s="12"/>
      <c r="C49" s="12"/>
      <c r="D49" s="12"/>
      <c r="E49" s="12" t="s">
        <v>117</v>
      </c>
      <c r="F49" s="14" t="s">
        <v>40</v>
      </c>
      <c r="G49" s="12"/>
      <c r="H49" s="12"/>
      <c r="I49" s="9">
        <f>I48/0.2</f>
        <v>8.971071429</v>
      </c>
      <c r="J49" s="12" t="s">
        <v>22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6.25" customHeight="1">
      <c r="A50" s="12"/>
      <c r="B50" s="13"/>
      <c r="C50" s="12"/>
      <c r="D50" s="12"/>
      <c r="E50" s="12" t="s">
        <v>118</v>
      </c>
      <c r="F50" s="14" t="s">
        <v>40</v>
      </c>
      <c r="G50" s="12"/>
      <c r="H50" s="12"/>
      <c r="I50" s="9" t="s">
        <v>119</v>
      </c>
      <c r="J50" s="12" t="s">
        <v>25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7.0" customHeight="1">
      <c r="A51" s="25" t="s">
        <v>120</v>
      </c>
      <c r="B51" s="31"/>
      <c r="C51" s="31"/>
      <c r="D51" s="31"/>
      <c r="E51" s="31"/>
      <c r="F51" s="32"/>
      <c r="G51" s="31"/>
      <c r="H51" s="33"/>
      <c r="I51" s="9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6.25" customHeight="1">
      <c r="A52" s="34" t="s">
        <v>121</v>
      </c>
      <c r="B52" s="35" t="s">
        <v>52</v>
      </c>
      <c r="C52" s="35" t="s">
        <v>122</v>
      </c>
      <c r="D52" s="35" t="s">
        <v>54</v>
      </c>
      <c r="E52" s="35" t="s">
        <v>121</v>
      </c>
      <c r="F52" s="36" t="s">
        <v>16</v>
      </c>
      <c r="G52" s="35" t="s">
        <v>123</v>
      </c>
      <c r="H52" s="12" t="s">
        <v>124</v>
      </c>
      <c r="I52" s="9">
        <f>(50/700)*20.4+(25/700)*11.23+0.1+(5/700)*1</f>
        <v>1.965357143</v>
      </c>
      <c r="J52" s="12" t="s">
        <v>19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6.25" customHeight="1">
      <c r="A53" s="12" t="s">
        <v>125</v>
      </c>
      <c r="B53" s="13"/>
      <c r="C53" s="12"/>
      <c r="D53" s="12"/>
      <c r="E53" s="37" t="s">
        <v>126</v>
      </c>
      <c r="F53" s="38" t="s">
        <v>40</v>
      </c>
      <c r="G53" s="12"/>
      <c r="H53" s="12"/>
      <c r="I53" s="9">
        <f>I52/0.2</f>
        <v>9.826785714</v>
      </c>
      <c r="J53" s="12" t="s">
        <v>22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6.25" customHeight="1">
      <c r="A54" s="12"/>
      <c r="B54" s="13"/>
      <c r="C54" s="12"/>
      <c r="D54" s="12"/>
      <c r="E54" s="12" t="s">
        <v>127</v>
      </c>
      <c r="F54" s="14" t="s">
        <v>16</v>
      </c>
      <c r="G54" s="12"/>
      <c r="H54" s="12"/>
      <c r="I54" s="9">
        <v>11.0</v>
      </c>
      <c r="J54" s="12" t="s">
        <v>25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6.25" customHeight="1">
      <c r="A55" s="18"/>
      <c r="B55" s="18"/>
      <c r="C55" s="18"/>
      <c r="D55" s="18"/>
      <c r="E55" s="18" t="s">
        <v>128</v>
      </c>
      <c r="F55" s="20" t="s">
        <v>129</v>
      </c>
      <c r="G55" s="18"/>
      <c r="H55" s="18"/>
      <c r="I55" s="9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6.25" customHeight="1">
      <c r="A56" s="12" t="s">
        <v>130</v>
      </c>
      <c r="B56" s="12" t="s">
        <v>52</v>
      </c>
      <c r="C56" s="12" t="s">
        <v>122</v>
      </c>
      <c r="D56" s="12" t="s">
        <v>54</v>
      </c>
      <c r="E56" s="12" t="s">
        <v>131</v>
      </c>
      <c r="F56" s="14" t="s">
        <v>50</v>
      </c>
      <c r="G56" s="12" t="s">
        <v>132</v>
      </c>
      <c r="H56" s="12" t="s">
        <v>124</v>
      </c>
      <c r="I56" s="9">
        <f>(40/700)*17.09+(15/500)*9.59+(15/500)*9.99+(10/4000)*6</f>
        <v>1.578971429</v>
      </c>
      <c r="J56" s="12" t="s">
        <v>19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6.25" customHeight="1">
      <c r="A57" s="12"/>
      <c r="B57" s="13"/>
      <c r="C57" s="12"/>
      <c r="D57" s="12"/>
      <c r="E57" s="12" t="s">
        <v>133</v>
      </c>
      <c r="F57" s="14" t="s">
        <v>34</v>
      </c>
      <c r="G57" s="12"/>
      <c r="H57" s="12"/>
      <c r="I57" s="9">
        <f>I56/0.2</f>
        <v>7.894857143</v>
      </c>
      <c r="J57" s="12" t="s">
        <v>22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6.25" customHeight="1">
      <c r="A58" s="12"/>
      <c r="B58" s="13"/>
      <c r="C58" s="12"/>
      <c r="D58" s="12"/>
      <c r="E58" s="12" t="s">
        <v>134</v>
      </c>
      <c r="F58" s="14" t="s">
        <v>34</v>
      </c>
      <c r="G58" s="12"/>
      <c r="H58" s="12"/>
      <c r="I58" s="9">
        <v>11.0</v>
      </c>
      <c r="J58" s="12" t="s">
        <v>25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6.25" customHeight="1">
      <c r="A59" s="12"/>
      <c r="B59" s="13"/>
      <c r="C59" s="12"/>
      <c r="D59" s="12"/>
      <c r="E59" s="12" t="s">
        <v>135</v>
      </c>
      <c r="F59" s="14" t="s">
        <v>44</v>
      </c>
      <c r="G59" s="12"/>
      <c r="H59" s="12"/>
      <c r="I59" s="9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6.25" customHeight="1">
      <c r="A60" s="15" t="s">
        <v>136</v>
      </c>
      <c r="B60" s="16" t="s">
        <v>137</v>
      </c>
      <c r="C60" s="15" t="s">
        <v>138</v>
      </c>
      <c r="D60" s="15" t="s">
        <v>54</v>
      </c>
      <c r="E60" s="15" t="s">
        <v>139</v>
      </c>
      <c r="F60" s="17" t="s">
        <v>50</v>
      </c>
      <c r="G60" s="15" t="s">
        <v>140</v>
      </c>
      <c r="H60" s="15" t="s">
        <v>124</v>
      </c>
      <c r="I60" s="9">
        <f>(40/700)*14.56+(15/700)*1+0.35+(30/4000)*6</f>
        <v>1.248428571</v>
      </c>
      <c r="J60" s="12" t="s">
        <v>19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6.25" customHeight="1">
      <c r="A61" s="12"/>
      <c r="B61" s="13"/>
      <c r="C61" s="12" t="s">
        <v>141</v>
      </c>
      <c r="D61" s="12"/>
      <c r="E61" s="12" t="s">
        <v>142</v>
      </c>
      <c r="F61" s="14" t="s">
        <v>46</v>
      </c>
      <c r="G61" s="12" t="s">
        <v>143</v>
      </c>
      <c r="H61" s="12"/>
      <c r="I61" s="9">
        <f>I60/0.2</f>
        <v>6.242142857</v>
      </c>
      <c r="J61" s="12" t="s">
        <v>22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6.25" customHeight="1">
      <c r="A62" s="12"/>
      <c r="B62" s="13"/>
      <c r="C62" s="12"/>
      <c r="D62" s="12"/>
      <c r="E62" s="12" t="s">
        <v>144</v>
      </c>
      <c r="F62" s="14" t="s">
        <v>145</v>
      </c>
      <c r="G62" s="12"/>
      <c r="H62" s="12"/>
      <c r="I62" s="9">
        <v>8.0</v>
      </c>
      <c r="J62" s="12" t="s">
        <v>25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6.25" customHeight="1">
      <c r="A63" s="12"/>
      <c r="B63" s="13"/>
      <c r="C63" s="12"/>
      <c r="D63" s="12"/>
      <c r="E63" s="12" t="s">
        <v>135</v>
      </c>
      <c r="F63" s="14" t="s">
        <v>44</v>
      </c>
      <c r="G63" s="12"/>
      <c r="H63" s="12"/>
      <c r="I63" s="9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6.25" customHeight="1">
      <c r="A64" s="15" t="s">
        <v>121</v>
      </c>
      <c r="B64" s="16" t="s">
        <v>146</v>
      </c>
      <c r="C64" s="15" t="s">
        <v>147</v>
      </c>
      <c r="D64" s="15" t="s">
        <v>29</v>
      </c>
      <c r="E64" s="15" t="s">
        <v>121</v>
      </c>
      <c r="F64" s="17" t="s">
        <v>40</v>
      </c>
      <c r="G64" s="15" t="s">
        <v>123</v>
      </c>
      <c r="H64" s="15" t="s">
        <v>18</v>
      </c>
      <c r="I64" s="9">
        <f>(25/700)*20.4+(25/700)*11.23+(100/4000)*6</f>
        <v>1.279642857</v>
      </c>
      <c r="J64" s="12" t="s">
        <v>19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6.25" customHeight="1">
      <c r="A65" s="12" t="s">
        <v>148</v>
      </c>
      <c r="B65" s="13"/>
      <c r="C65" s="12" t="s">
        <v>149</v>
      </c>
      <c r="D65" s="12"/>
      <c r="E65" s="12" t="s">
        <v>126</v>
      </c>
      <c r="F65" s="14" t="s">
        <v>40</v>
      </c>
      <c r="G65" s="12"/>
      <c r="H65" s="12"/>
      <c r="I65" s="9">
        <f>I64/0.2</f>
        <v>6.398214286</v>
      </c>
      <c r="J65" s="12" t="s">
        <v>22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6.25" customHeight="1">
      <c r="A66" s="12"/>
      <c r="B66" s="12"/>
      <c r="C66" s="12"/>
      <c r="D66" s="12"/>
      <c r="E66" s="12" t="s">
        <v>135</v>
      </c>
      <c r="F66" s="14" t="s">
        <v>150</v>
      </c>
      <c r="G66" s="12"/>
      <c r="H66" s="12"/>
      <c r="I66" s="9">
        <v>11.0</v>
      </c>
      <c r="J66" s="12" t="s">
        <v>25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7.0" customHeight="1">
      <c r="A67" s="25" t="s">
        <v>151</v>
      </c>
      <c r="B67" s="31"/>
      <c r="C67" s="31"/>
      <c r="D67" s="31"/>
      <c r="E67" s="31"/>
      <c r="F67" s="32"/>
      <c r="G67" s="31"/>
      <c r="H67" s="33"/>
      <c r="I67" s="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6.25" customHeight="1">
      <c r="A68" s="12" t="s">
        <v>152</v>
      </c>
      <c r="B68" s="13" t="s">
        <v>146</v>
      </c>
      <c r="C68" s="12" t="s">
        <v>153</v>
      </c>
      <c r="D68" s="12" t="s">
        <v>114</v>
      </c>
      <c r="E68" s="12" t="s">
        <v>55</v>
      </c>
      <c r="F68" s="14" t="s">
        <v>40</v>
      </c>
      <c r="G68" s="12" t="s">
        <v>115</v>
      </c>
      <c r="H68" s="12" t="s">
        <v>124</v>
      </c>
      <c r="I68" s="9">
        <f>(25/700)*11.96+(25/1000)*20.74+(25/700)*11.6</f>
        <v>1.359928571</v>
      </c>
      <c r="J68" s="12" t="s">
        <v>19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6.25" customHeight="1">
      <c r="A69" s="12"/>
      <c r="B69" s="13"/>
      <c r="C69" s="12"/>
      <c r="D69" s="12"/>
      <c r="E69" s="12" t="s">
        <v>96</v>
      </c>
      <c r="F69" s="14" t="s">
        <v>40</v>
      </c>
      <c r="G69" s="12"/>
      <c r="H69" s="12"/>
      <c r="I69" s="9">
        <f>I68/0.2</f>
        <v>6.799642857</v>
      </c>
      <c r="J69" s="12" t="s">
        <v>22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6.25" customHeight="1">
      <c r="A70" s="18"/>
      <c r="B70" s="19"/>
      <c r="C70" s="18"/>
      <c r="D70" s="18"/>
      <c r="E70" s="18" t="s">
        <v>117</v>
      </c>
      <c r="F70" s="20" t="s">
        <v>40</v>
      </c>
      <c r="G70" s="18"/>
      <c r="H70" s="18"/>
      <c r="I70" s="9">
        <v>9.0</v>
      </c>
      <c r="J70" s="12" t="s">
        <v>25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6.25" customHeight="1">
      <c r="A71" s="12" t="s">
        <v>154</v>
      </c>
      <c r="B71" s="13" t="s">
        <v>155</v>
      </c>
      <c r="C71" s="12" t="s">
        <v>156</v>
      </c>
      <c r="D71" s="12" t="s">
        <v>54</v>
      </c>
      <c r="E71" s="12" t="s">
        <v>157</v>
      </c>
      <c r="F71" s="14" t="s">
        <v>34</v>
      </c>
      <c r="G71" s="12" t="s">
        <v>158</v>
      </c>
      <c r="H71" s="12" t="s">
        <v>124</v>
      </c>
      <c r="I71" s="9">
        <f>(20/500)*8.48+((40/5000)*27.54)+(75/750)*6</f>
        <v>1.15952</v>
      </c>
      <c r="J71" s="12" t="s">
        <v>19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6.25" customHeight="1">
      <c r="A72" s="12"/>
      <c r="B72" s="13"/>
      <c r="C72" s="12"/>
      <c r="D72" s="12"/>
      <c r="E72" s="12" t="s">
        <v>43</v>
      </c>
      <c r="F72" s="14" t="s">
        <v>50</v>
      </c>
      <c r="G72" s="12" t="s">
        <v>159</v>
      </c>
      <c r="H72" s="12"/>
      <c r="I72" s="9">
        <f>I71/0.2</f>
        <v>5.7976</v>
      </c>
      <c r="J72" s="12" t="s">
        <v>22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6.25" customHeight="1">
      <c r="A73" s="18"/>
      <c r="B73" s="19"/>
      <c r="C73" s="18"/>
      <c r="D73" s="18"/>
      <c r="E73" s="18" t="s">
        <v>20</v>
      </c>
      <c r="F73" s="20" t="s">
        <v>160</v>
      </c>
      <c r="G73" s="18"/>
      <c r="H73" s="18"/>
      <c r="I73" s="9">
        <v>8.0</v>
      </c>
      <c r="J73" s="12" t="s">
        <v>25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6.25" customHeight="1">
      <c r="A74" s="12" t="s">
        <v>125</v>
      </c>
      <c r="B74" s="13" t="s">
        <v>52</v>
      </c>
      <c r="C74" s="12" t="s">
        <v>161</v>
      </c>
      <c r="D74" s="12" t="s">
        <v>54</v>
      </c>
      <c r="E74" s="35" t="s">
        <v>83</v>
      </c>
      <c r="F74" s="36" t="s">
        <v>16</v>
      </c>
      <c r="G74" s="35" t="s">
        <v>123</v>
      </c>
      <c r="H74" s="12" t="s">
        <v>124</v>
      </c>
      <c r="I74" s="9">
        <f>(50/700)*10.84+(25/700)*11.23+0.1+(5/700)*1</f>
        <v>1.2825</v>
      </c>
      <c r="J74" s="12" t="s">
        <v>19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6.25" customHeight="1">
      <c r="A75" s="12"/>
      <c r="B75" s="13"/>
      <c r="C75" s="12"/>
      <c r="D75" s="12"/>
      <c r="E75" s="37" t="s">
        <v>126</v>
      </c>
      <c r="F75" s="38" t="s">
        <v>40</v>
      </c>
      <c r="G75" s="12"/>
      <c r="H75" s="12"/>
      <c r="I75" s="9">
        <f>I74/0.2</f>
        <v>6.4125</v>
      </c>
      <c r="J75" s="12" t="s">
        <v>22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6.25" customHeight="1">
      <c r="A76" s="12"/>
      <c r="B76" s="13"/>
      <c r="C76" s="12"/>
      <c r="D76" s="12"/>
      <c r="E76" s="12" t="s">
        <v>127</v>
      </c>
      <c r="F76" s="14" t="s">
        <v>16</v>
      </c>
      <c r="G76" s="12"/>
      <c r="H76" s="12"/>
      <c r="I76" s="9">
        <v>9.0</v>
      </c>
      <c r="J76" s="12" t="s">
        <v>25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6.25" customHeight="1">
      <c r="A77" s="18"/>
      <c r="B77" s="19"/>
      <c r="C77" s="18"/>
      <c r="D77" s="18"/>
      <c r="E77" s="18" t="s">
        <v>128</v>
      </c>
      <c r="F77" s="20" t="s">
        <v>129</v>
      </c>
      <c r="G77" s="18"/>
      <c r="H77" s="18"/>
      <c r="I77" s="9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6.25" customHeight="1">
      <c r="A78" s="12" t="s">
        <v>162</v>
      </c>
      <c r="B78" s="13" t="s">
        <v>146</v>
      </c>
      <c r="C78" s="12" t="s">
        <v>163</v>
      </c>
      <c r="D78" s="12" t="s">
        <v>114</v>
      </c>
      <c r="E78" s="12" t="s">
        <v>164</v>
      </c>
      <c r="F78" s="14" t="s">
        <v>165</v>
      </c>
      <c r="G78" s="12" t="s">
        <v>115</v>
      </c>
      <c r="H78" s="12" t="s">
        <v>124</v>
      </c>
      <c r="I78" s="9">
        <f>(60/700)*18.74+0.005+(10/200)*8.75</f>
        <v>2.048785714</v>
      </c>
      <c r="J78" s="12" t="s">
        <v>19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6.25" customHeight="1">
      <c r="A79" s="12"/>
      <c r="B79" s="13"/>
      <c r="C79" s="12" t="s">
        <v>166</v>
      </c>
      <c r="D79" s="12"/>
      <c r="E79" s="12" t="s">
        <v>167</v>
      </c>
      <c r="F79" s="14">
        <v>1.0</v>
      </c>
      <c r="G79" s="12"/>
      <c r="H79" s="12"/>
      <c r="I79" s="9">
        <f>I78/0.2</f>
        <v>10.24392857</v>
      </c>
      <c r="J79" s="12" t="s">
        <v>22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18"/>
      <c r="B80" s="18"/>
      <c r="C80" s="18" t="s">
        <v>168</v>
      </c>
      <c r="D80" s="18"/>
      <c r="E80" s="18" t="s">
        <v>169</v>
      </c>
      <c r="F80" s="20" t="s">
        <v>170</v>
      </c>
      <c r="G80" s="18"/>
      <c r="H80" s="18"/>
      <c r="I80" s="9">
        <v>10.4</v>
      </c>
      <c r="J80" s="12" t="s">
        <v>25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0" customHeight="1">
      <c r="A81" s="15" t="s">
        <v>171</v>
      </c>
      <c r="B81" s="16" t="s">
        <v>52</v>
      </c>
      <c r="C81" s="15" t="s">
        <v>38</v>
      </c>
      <c r="D81" s="15" t="s">
        <v>54</v>
      </c>
      <c r="E81" s="15" t="s">
        <v>172</v>
      </c>
      <c r="F81" s="17" t="s">
        <v>16</v>
      </c>
      <c r="G81" s="15" t="s">
        <v>173</v>
      </c>
      <c r="H81" s="15" t="s">
        <v>124</v>
      </c>
      <c r="I81" s="9">
        <f>(50/700)*16.42+(12.5/250)*2.93+(25/1000)*8.83</f>
        <v>1.540107143</v>
      </c>
      <c r="J81" s="12" t="s">
        <v>19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0" customHeight="1">
      <c r="A82" s="12"/>
      <c r="B82" s="12"/>
      <c r="C82" s="30"/>
      <c r="D82" s="12"/>
      <c r="E82" s="12" t="s">
        <v>174</v>
      </c>
      <c r="F82" s="14" t="s">
        <v>56</v>
      </c>
      <c r="G82" s="12"/>
      <c r="H82" s="30"/>
      <c r="I82" s="9">
        <f>I81/0.2</f>
        <v>7.700535714</v>
      </c>
      <c r="J82" s="12" t="s">
        <v>22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6.25" customHeight="1">
      <c r="A83" s="18"/>
      <c r="B83" s="19"/>
      <c r="C83" s="18"/>
      <c r="D83" s="18"/>
      <c r="E83" s="18" t="s">
        <v>175</v>
      </c>
      <c r="F83" s="20" t="s">
        <v>40</v>
      </c>
      <c r="G83" s="18"/>
      <c r="H83" s="18"/>
      <c r="I83" s="9">
        <v>9.0</v>
      </c>
      <c r="J83" s="12" t="s">
        <v>25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6.25" customHeight="1">
      <c r="A84" s="12" t="s">
        <v>176</v>
      </c>
      <c r="B84" s="13" t="s">
        <v>52</v>
      </c>
      <c r="C84" s="12" t="s">
        <v>177</v>
      </c>
      <c r="D84" s="12" t="s">
        <v>29</v>
      </c>
      <c r="E84" s="12" t="s">
        <v>178</v>
      </c>
      <c r="F84" s="14" t="s">
        <v>16</v>
      </c>
      <c r="G84" s="12" t="s">
        <v>179</v>
      </c>
      <c r="H84" s="12" t="s">
        <v>87</v>
      </c>
      <c r="I84" s="9">
        <f>(50/700)*13.43+(25/1000)*3.75+(20/1000)*2.33+(12.5/700)*1+(5/200)*8.75</f>
        <v>1.336242857</v>
      </c>
      <c r="J84" s="12" t="s">
        <v>19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6.25" customHeight="1">
      <c r="A85" s="12"/>
      <c r="B85" s="13"/>
      <c r="C85" s="12"/>
      <c r="D85" s="12"/>
      <c r="E85" s="12" t="s">
        <v>33</v>
      </c>
      <c r="F85" s="14" t="s">
        <v>40</v>
      </c>
      <c r="G85" s="12" t="s">
        <v>180</v>
      </c>
      <c r="H85" s="12"/>
      <c r="I85" s="9">
        <f>I84/0.2</f>
        <v>6.681214286</v>
      </c>
      <c r="J85" s="12" t="s">
        <v>22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6.25" customHeight="1">
      <c r="A86" s="12"/>
      <c r="B86" s="13"/>
      <c r="C86" s="12"/>
      <c r="D86" s="12"/>
      <c r="E86" s="12" t="s">
        <v>181</v>
      </c>
      <c r="F86" s="14" t="s">
        <v>34</v>
      </c>
      <c r="G86" s="12" t="s">
        <v>182</v>
      </c>
      <c r="H86" s="12"/>
      <c r="I86" s="9">
        <v>9.0</v>
      </c>
      <c r="J86" s="12" t="s">
        <v>25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6.25" customHeight="1">
      <c r="A87" s="12"/>
      <c r="B87" s="13"/>
      <c r="C87" s="12"/>
      <c r="D87" s="12"/>
      <c r="E87" s="12" t="s">
        <v>142</v>
      </c>
      <c r="F87" s="14" t="s">
        <v>56</v>
      </c>
      <c r="G87" s="12" t="s">
        <v>183</v>
      </c>
      <c r="H87" s="12"/>
      <c r="I87" s="9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6.25" customHeight="1">
      <c r="A88" s="18"/>
      <c r="B88" s="19"/>
      <c r="C88" s="18"/>
      <c r="D88" s="18"/>
      <c r="E88" s="18" t="s">
        <v>169</v>
      </c>
      <c r="F88" s="20" t="s">
        <v>184</v>
      </c>
      <c r="G88" s="18"/>
      <c r="H88" s="18"/>
      <c r="I88" s="9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6.25" customHeight="1">
      <c r="A89" s="12" t="s">
        <v>185</v>
      </c>
      <c r="B89" s="21" t="s">
        <v>52</v>
      </c>
      <c r="C89" s="21" t="s">
        <v>186</v>
      </c>
      <c r="D89" s="21" t="s">
        <v>54</v>
      </c>
      <c r="E89" s="21" t="s">
        <v>83</v>
      </c>
      <c r="F89" s="22" t="s">
        <v>50</v>
      </c>
      <c r="G89" s="21" t="s">
        <v>187</v>
      </c>
      <c r="H89" s="12" t="s">
        <v>124</v>
      </c>
      <c r="I89" s="9">
        <f>(40/700)*10.84+(35/8000)*12.47+(20/700)*15.89+(15/1000)*8.83</f>
        <v>1.260434821</v>
      </c>
      <c r="J89" s="12" t="s">
        <v>19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6.25" customHeight="1">
      <c r="A90" s="12"/>
      <c r="B90" s="21"/>
      <c r="C90" s="21"/>
      <c r="D90" s="21"/>
      <c r="E90" s="21" t="s">
        <v>188</v>
      </c>
      <c r="F90" s="22" t="s">
        <v>48</v>
      </c>
      <c r="G90" s="21" t="s">
        <v>189</v>
      </c>
      <c r="H90" s="12"/>
      <c r="I90" s="9">
        <f>I89/0.2</f>
        <v>6.302174107</v>
      </c>
      <c r="J90" s="12" t="s">
        <v>22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6.25" customHeight="1">
      <c r="A91" s="12"/>
      <c r="B91" s="21"/>
      <c r="C91" s="21"/>
      <c r="D91" s="21"/>
      <c r="E91" s="21" t="s">
        <v>105</v>
      </c>
      <c r="F91" s="22" t="s">
        <v>34</v>
      </c>
      <c r="G91" s="21"/>
      <c r="H91" s="12"/>
      <c r="I91" s="9">
        <v>9.0</v>
      </c>
      <c r="J91" s="12" t="s">
        <v>25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6.25" customHeight="1">
      <c r="A92" s="12"/>
      <c r="B92" s="21"/>
      <c r="C92" s="21"/>
      <c r="D92" s="21"/>
      <c r="E92" s="21" t="s">
        <v>190</v>
      </c>
      <c r="F92" s="22" t="s">
        <v>46</v>
      </c>
      <c r="G92" s="21"/>
      <c r="H92" s="12"/>
      <c r="I92" s="9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6.25" customHeight="1">
      <c r="A93" s="15" t="s">
        <v>191</v>
      </c>
      <c r="B93" s="16" t="s">
        <v>146</v>
      </c>
      <c r="C93" s="15" t="s">
        <v>192</v>
      </c>
      <c r="D93" s="15" t="s">
        <v>100</v>
      </c>
      <c r="E93" s="15" t="s">
        <v>96</v>
      </c>
      <c r="F93" s="17" t="s">
        <v>16</v>
      </c>
      <c r="G93" s="15" t="s">
        <v>193</v>
      </c>
      <c r="H93" s="15" t="s">
        <v>18</v>
      </c>
      <c r="I93" s="9">
        <f>(50/700)*11.6+(10/500)*8.48+(12.5/700)*1+(25/1000)*3.75</f>
        <v>1.109778571</v>
      </c>
      <c r="J93" s="12" t="s">
        <v>19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6.25" customHeight="1">
      <c r="A94" s="39"/>
      <c r="B94" s="13"/>
      <c r="C94" s="12" t="s">
        <v>194</v>
      </c>
      <c r="D94" s="12"/>
      <c r="E94" s="12" t="s">
        <v>33</v>
      </c>
      <c r="F94" s="14" t="s">
        <v>40</v>
      </c>
      <c r="G94" s="12"/>
      <c r="H94" s="12"/>
      <c r="I94" s="9">
        <f>I93/0.2</f>
        <v>5.548892857</v>
      </c>
      <c r="J94" s="12" t="s">
        <v>22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6.25" customHeight="1">
      <c r="A95" s="40"/>
      <c r="B95" s="41"/>
      <c r="C95" s="40" t="s">
        <v>195</v>
      </c>
      <c r="D95" s="40"/>
      <c r="E95" s="40" t="s">
        <v>142</v>
      </c>
      <c r="F95" s="42" t="s">
        <v>56</v>
      </c>
      <c r="G95" s="40"/>
      <c r="H95" s="40"/>
      <c r="I95" s="9">
        <v>9.0</v>
      </c>
      <c r="J95" s="12" t="s">
        <v>25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7.0" customHeight="1">
      <c r="A96" s="43"/>
      <c r="B96" s="44"/>
      <c r="C96" s="45"/>
      <c r="D96" s="44"/>
      <c r="E96" s="12" t="s">
        <v>196</v>
      </c>
      <c r="F96" s="14" t="s">
        <v>66</v>
      </c>
      <c r="G96" s="44"/>
      <c r="H96" s="44"/>
      <c r="I96" s="9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6.25" customHeight="1">
      <c r="A97" s="15" t="s">
        <v>197</v>
      </c>
      <c r="B97" s="16" t="s">
        <v>146</v>
      </c>
      <c r="C97" s="15" t="s">
        <v>198</v>
      </c>
      <c r="D97" s="15" t="s">
        <v>100</v>
      </c>
      <c r="E97" s="15" t="s">
        <v>199</v>
      </c>
      <c r="F97" s="17" t="s">
        <v>16</v>
      </c>
      <c r="G97" s="15" t="s">
        <v>200</v>
      </c>
      <c r="H97" s="15" t="s">
        <v>18</v>
      </c>
      <c r="I97" s="9">
        <f>(50/700)*19.22+0.3+(10/700)*1</f>
        <v>1.687142857</v>
      </c>
      <c r="J97" s="12" t="s">
        <v>19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6.25" customHeight="1">
      <c r="A98" s="12"/>
      <c r="B98" s="13"/>
      <c r="C98" s="12" t="s">
        <v>201</v>
      </c>
      <c r="D98" s="12"/>
      <c r="E98" s="12" t="s">
        <v>202</v>
      </c>
      <c r="F98" s="14">
        <v>8.0</v>
      </c>
      <c r="G98" s="12" t="s">
        <v>203</v>
      </c>
      <c r="H98" s="12"/>
      <c r="I98" s="9">
        <f>I97/0.2</f>
        <v>8.435714286</v>
      </c>
      <c r="J98" s="12" t="s">
        <v>22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6.25" customHeight="1">
      <c r="A99" s="12"/>
      <c r="B99" s="13"/>
      <c r="C99" s="12"/>
      <c r="D99" s="12"/>
      <c r="E99" s="12" t="s">
        <v>204</v>
      </c>
      <c r="F99" s="14" t="s">
        <v>205</v>
      </c>
      <c r="G99" s="12"/>
      <c r="H99" s="12"/>
      <c r="I99" s="9">
        <v>9.0</v>
      </c>
      <c r="J99" s="12" t="s">
        <v>25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6.25" customHeight="1">
      <c r="A100" s="15" t="s">
        <v>206</v>
      </c>
      <c r="B100" s="16" t="s">
        <v>27</v>
      </c>
      <c r="C100" s="15" t="s">
        <v>207</v>
      </c>
      <c r="D100" s="15" t="s">
        <v>29</v>
      </c>
      <c r="E100" s="15" t="s">
        <v>96</v>
      </c>
      <c r="F100" s="17" t="s">
        <v>44</v>
      </c>
      <c r="G100" s="15" t="s">
        <v>208</v>
      </c>
      <c r="H100" s="15" t="s">
        <v>209</v>
      </c>
      <c r="I100" s="9">
        <f>(45/700)*11.6+(10/700)*14.37+(6/700)*19+(6/700)*15.89+(15/8000)*11.99+(30/1000)*3.75+(4/700)*1+(5/200)*8.75+(5/200)*10.98</f>
        <v>1.884002679</v>
      </c>
      <c r="J100" s="12" t="s">
        <v>19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6.25" customHeight="1">
      <c r="A101" s="12"/>
      <c r="B101" s="13"/>
      <c r="C101" s="12" t="s">
        <v>210</v>
      </c>
      <c r="D101" s="12"/>
      <c r="E101" s="12" t="s">
        <v>211</v>
      </c>
      <c r="F101" s="14" t="s">
        <v>46</v>
      </c>
      <c r="G101" s="12" t="s">
        <v>212</v>
      </c>
      <c r="H101" s="12"/>
      <c r="I101" s="9">
        <f>I100/0.2</f>
        <v>9.420013393</v>
      </c>
      <c r="J101" s="12" t="s">
        <v>22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6.25" customHeight="1">
      <c r="A102" s="12"/>
      <c r="B102" s="13"/>
      <c r="C102" s="12"/>
      <c r="D102" s="12"/>
      <c r="E102" s="12" t="s">
        <v>213</v>
      </c>
      <c r="F102" s="14" t="s">
        <v>76</v>
      </c>
      <c r="G102" s="12"/>
      <c r="H102" s="12"/>
      <c r="I102" s="9">
        <v>9.5</v>
      </c>
      <c r="J102" s="12" t="s">
        <v>25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6.25" customHeight="1">
      <c r="A103" s="12"/>
      <c r="B103" s="13"/>
      <c r="C103" s="12"/>
      <c r="D103" s="12"/>
      <c r="E103" s="12" t="s">
        <v>105</v>
      </c>
      <c r="F103" s="14" t="s">
        <v>76</v>
      </c>
      <c r="G103" s="12"/>
      <c r="H103" s="12"/>
      <c r="I103" s="9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6.25" customHeight="1">
      <c r="A104" s="12"/>
      <c r="B104" s="13"/>
      <c r="C104" s="12"/>
      <c r="D104" s="12"/>
      <c r="E104" s="12" t="s">
        <v>214</v>
      </c>
      <c r="F104" s="14" t="s">
        <v>215</v>
      </c>
      <c r="G104" s="12"/>
      <c r="H104" s="12"/>
      <c r="I104" s="9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6.25" customHeight="1">
      <c r="A105" s="12"/>
      <c r="B105" s="13"/>
      <c r="C105" s="12"/>
      <c r="D105" s="12"/>
      <c r="E105" s="12" t="s">
        <v>190</v>
      </c>
      <c r="F105" s="14" t="s">
        <v>46</v>
      </c>
      <c r="G105" s="12"/>
      <c r="H105" s="12"/>
      <c r="I105" s="9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6.25" customHeight="1">
      <c r="A106" s="12"/>
      <c r="B106" s="13"/>
      <c r="C106" s="12"/>
      <c r="D106" s="12"/>
      <c r="E106" s="12" t="s">
        <v>216</v>
      </c>
      <c r="F106" s="14" t="s">
        <v>66</v>
      </c>
      <c r="G106" s="12"/>
      <c r="H106" s="12"/>
      <c r="I106" s="9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5.5" customHeight="1">
      <c r="A107" s="18"/>
      <c r="B107" s="18"/>
      <c r="C107" s="18"/>
      <c r="D107" s="18"/>
      <c r="E107" s="18" t="s">
        <v>169</v>
      </c>
      <c r="F107" s="20" t="s">
        <v>217</v>
      </c>
      <c r="G107" s="18"/>
      <c r="H107" s="18"/>
      <c r="I107" s="46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26.25" customHeight="1">
      <c r="A108" s="12" t="s">
        <v>218</v>
      </c>
      <c r="B108" s="13" t="s">
        <v>52</v>
      </c>
      <c r="C108" s="12" t="s">
        <v>186</v>
      </c>
      <c r="D108" s="12" t="s">
        <v>54</v>
      </c>
      <c r="E108" s="12" t="s">
        <v>219</v>
      </c>
      <c r="F108" s="14" t="s">
        <v>16</v>
      </c>
      <c r="G108" s="12" t="s">
        <v>173</v>
      </c>
      <c r="H108" s="12" t="s">
        <v>124</v>
      </c>
      <c r="I108" s="48">
        <f>(50/700)*20.55+(25/1000)*8.83+(12.5/700)*1+(30/5000)*34.73</f>
        <v>1.914844286</v>
      </c>
      <c r="J108" s="12" t="s">
        <v>19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6.25" customHeight="1">
      <c r="A109" s="12"/>
      <c r="B109" s="13"/>
      <c r="C109" s="12"/>
      <c r="D109" s="12"/>
      <c r="E109" s="12" t="s">
        <v>190</v>
      </c>
      <c r="F109" s="14" t="s">
        <v>40</v>
      </c>
      <c r="G109" s="12" t="s">
        <v>220</v>
      </c>
      <c r="H109" s="12"/>
      <c r="I109" s="9">
        <f>I108/0.2</f>
        <v>9.574221429</v>
      </c>
      <c r="J109" s="12" t="s">
        <v>22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6.25" customHeight="1">
      <c r="A110" s="12"/>
      <c r="B110" s="13"/>
      <c r="C110" s="12"/>
      <c r="D110" s="12"/>
      <c r="E110" s="12" t="s">
        <v>142</v>
      </c>
      <c r="F110" s="14" t="s">
        <v>56</v>
      </c>
      <c r="G110" s="12"/>
      <c r="H110" s="12"/>
      <c r="I110" s="9">
        <v>10.0</v>
      </c>
      <c r="J110" s="12" t="s">
        <v>25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6.25" customHeight="1">
      <c r="A111" s="12"/>
      <c r="B111" s="13"/>
      <c r="C111" s="12"/>
      <c r="D111" s="12"/>
      <c r="E111" s="12" t="s">
        <v>221</v>
      </c>
      <c r="F111" s="14" t="s">
        <v>44</v>
      </c>
      <c r="G111" s="12"/>
      <c r="H111" s="12"/>
      <c r="I111" s="9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6.25" customHeight="1">
      <c r="A112" s="15" t="s">
        <v>222</v>
      </c>
      <c r="B112" s="16" t="s">
        <v>12</v>
      </c>
      <c r="C112" s="15" t="s">
        <v>38</v>
      </c>
      <c r="D112" s="15" t="s">
        <v>223</v>
      </c>
      <c r="E112" s="15" t="s">
        <v>224</v>
      </c>
      <c r="F112" s="17" t="s">
        <v>16</v>
      </c>
      <c r="G112" s="15" t="s">
        <v>225</v>
      </c>
      <c r="H112" s="15" t="s">
        <v>226</v>
      </c>
      <c r="I112" s="9">
        <f>(50/700)*14.87+(25/700)*14.02+(30/4000)*6+(60/8000)*11.99+(20/200)*2.43</f>
        <v>1.940782143</v>
      </c>
      <c r="J112" s="12" t="s">
        <v>19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6.25" customHeight="1">
      <c r="A113" s="12"/>
      <c r="B113" s="13"/>
      <c r="C113" s="12"/>
      <c r="D113" s="12"/>
      <c r="E113" s="12" t="s">
        <v>227</v>
      </c>
      <c r="F113" s="14" t="s">
        <v>40</v>
      </c>
      <c r="G113" s="12"/>
      <c r="H113" s="12" t="s">
        <v>209</v>
      </c>
      <c r="I113" s="9">
        <f>I112/0.2</f>
        <v>9.703910714</v>
      </c>
      <c r="J113" s="12" t="s">
        <v>22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6.25" customHeight="1">
      <c r="A114" s="12"/>
      <c r="B114" s="13"/>
      <c r="C114" s="12"/>
      <c r="D114" s="12"/>
      <c r="E114" s="12" t="s">
        <v>228</v>
      </c>
      <c r="F114" s="14" t="s">
        <v>44</v>
      </c>
      <c r="G114" s="12"/>
      <c r="H114" s="12"/>
      <c r="I114" s="9">
        <v>10.0</v>
      </c>
      <c r="J114" s="12" t="s">
        <v>25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7.0" customHeight="1">
      <c r="A115" s="49"/>
      <c r="B115" s="50"/>
      <c r="C115" s="50"/>
      <c r="D115" s="51"/>
      <c r="E115" s="52" t="s">
        <v>214</v>
      </c>
      <c r="F115" s="38" t="s">
        <v>165</v>
      </c>
      <c r="G115" s="50"/>
      <c r="H115" s="50"/>
      <c r="I115" s="9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6.25" customHeight="1">
      <c r="A116" s="53"/>
      <c r="B116" s="54"/>
      <c r="C116" s="53"/>
      <c r="D116" s="53"/>
      <c r="E116" s="53" t="s">
        <v>229</v>
      </c>
      <c r="F116" s="55" t="s">
        <v>34</v>
      </c>
      <c r="G116" s="53"/>
      <c r="H116" s="53"/>
      <c r="I116" s="9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6.25" customHeight="1">
      <c r="A117" s="12" t="s">
        <v>230</v>
      </c>
      <c r="B117" s="13" t="s">
        <v>52</v>
      </c>
      <c r="C117" s="12" t="s">
        <v>231</v>
      </c>
      <c r="D117" s="12" t="s">
        <v>232</v>
      </c>
      <c r="E117" s="12" t="s">
        <v>118</v>
      </c>
      <c r="F117" s="14" t="s">
        <v>165</v>
      </c>
      <c r="G117" s="12" t="s">
        <v>233</v>
      </c>
      <c r="H117" s="21"/>
      <c r="I117" s="9">
        <f>(60/700)*23.76+(10/750)*8.46</f>
        <v>2.149371429</v>
      </c>
      <c r="J117" s="12" t="s">
        <v>19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6.25" customHeight="1">
      <c r="A118" s="12"/>
      <c r="B118" s="13"/>
      <c r="C118" s="12"/>
      <c r="D118" s="12"/>
      <c r="E118" s="12" t="s">
        <v>234</v>
      </c>
      <c r="F118" s="14" t="s">
        <v>235</v>
      </c>
      <c r="G118" s="12"/>
      <c r="H118" s="21"/>
      <c r="I118" s="9">
        <f>I117/0.2</f>
        <v>10.74685714</v>
      </c>
      <c r="J118" s="12" t="s">
        <v>22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6.25" customHeight="1">
      <c r="A119" s="18"/>
      <c r="B119" s="19"/>
      <c r="C119" s="18"/>
      <c r="D119" s="18"/>
      <c r="E119" s="18"/>
      <c r="F119" s="20" t="s">
        <v>236</v>
      </c>
      <c r="G119" s="18"/>
      <c r="H119" s="23"/>
      <c r="I119" s="9">
        <v>11.0</v>
      </c>
      <c r="J119" s="12" t="s">
        <v>25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6.25" customHeight="1">
      <c r="A120" s="12" t="s">
        <v>237</v>
      </c>
      <c r="B120" s="13" t="s">
        <v>52</v>
      </c>
      <c r="C120" s="12" t="s">
        <v>231</v>
      </c>
      <c r="D120" s="12" t="s">
        <v>232</v>
      </c>
      <c r="E120" s="12" t="s">
        <v>118</v>
      </c>
      <c r="F120" s="14" t="s">
        <v>165</v>
      </c>
      <c r="G120" s="12" t="s">
        <v>238</v>
      </c>
      <c r="H120" s="21"/>
      <c r="I120" s="9">
        <f>(60/700)*23.76+(10/750)*8.46</f>
        <v>2.149371429</v>
      </c>
      <c r="J120" s="12" t="s">
        <v>19</v>
      </c>
      <c r="K120" s="13"/>
      <c r="L120" s="13"/>
      <c r="M120" s="13"/>
      <c r="N120" s="56"/>
      <c r="O120" s="13"/>
      <c r="P120" s="13"/>
      <c r="Q120" s="13"/>
      <c r="R120" s="13"/>
      <c r="S120" s="13"/>
      <c r="T120" s="13"/>
      <c r="U120" s="57"/>
      <c r="V120" s="57"/>
      <c r="W120" s="57"/>
      <c r="X120" s="57"/>
      <c r="Y120" s="57"/>
      <c r="Z120" s="57"/>
    </row>
    <row r="121" ht="26.25" customHeight="1">
      <c r="A121" s="12"/>
      <c r="B121" s="13"/>
      <c r="C121" s="12"/>
      <c r="D121" s="12"/>
      <c r="E121" s="12" t="s">
        <v>234</v>
      </c>
      <c r="F121" s="14" t="s">
        <v>235</v>
      </c>
      <c r="G121" s="12"/>
      <c r="H121" s="21"/>
      <c r="I121" s="9">
        <f>I120/0.2</f>
        <v>10.74685714</v>
      </c>
      <c r="J121" s="12" t="s">
        <v>22</v>
      </c>
      <c r="K121" s="13"/>
      <c r="L121" s="13"/>
      <c r="M121" s="13"/>
      <c r="N121" s="56"/>
      <c r="O121" s="13"/>
      <c r="P121" s="13"/>
      <c r="Q121" s="13"/>
      <c r="R121" s="13"/>
      <c r="S121" s="13"/>
      <c r="T121" s="13"/>
      <c r="U121" s="57"/>
      <c r="V121" s="57"/>
      <c r="W121" s="57"/>
      <c r="X121" s="57"/>
      <c r="Y121" s="57"/>
      <c r="Z121" s="57"/>
    </row>
    <row r="122" ht="26.25" customHeight="1">
      <c r="A122" s="18"/>
      <c r="B122" s="19"/>
      <c r="C122" s="18"/>
      <c r="D122" s="18"/>
      <c r="E122" s="18"/>
      <c r="F122" s="20" t="s">
        <v>236</v>
      </c>
      <c r="G122" s="18"/>
      <c r="H122" s="23"/>
      <c r="I122" s="9">
        <v>11.0</v>
      </c>
      <c r="J122" s="12" t="s">
        <v>25</v>
      </c>
      <c r="K122" s="13"/>
      <c r="L122" s="13"/>
      <c r="M122" s="13"/>
      <c r="N122" s="56"/>
      <c r="O122" s="13"/>
      <c r="P122" s="13"/>
      <c r="Q122" s="13"/>
      <c r="R122" s="13"/>
      <c r="S122" s="13"/>
      <c r="T122" s="13"/>
      <c r="U122" s="57"/>
      <c r="V122" s="57"/>
      <c r="W122" s="57"/>
      <c r="X122" s="57"/>
      <c r="Y122" s="57"/>
      <c r="Z122" s="57"/>
    </row>
    <row r="123" ht="26.25" customHeight="1">
      <c r="A123" s="12" t="s">
        <v>239</v>
      </c>
      <c r="B123" s="13" t="s">
        <v>52</v>
      </c>
      <c r="C123" s="12" t="s">
        <v>240</v>
      </c>
      <c r="D123" s="12" t="s">
        <v>241</v>
      </c>
      <c r="E123" s="12" t="s">
        <v>242</v>
      </c>
      <c r="F123" s="14" t="s">
        <v>165</v>
      </c>
      <c r="G123" s="12" t="s">
        <v>233</v>
      </c>
      <c r="H123" s="21"/>
      <c r="I123" s="9">
        <f>(60/700)*21.28+(10/750)*8.46</f>
        <v>1.9368</v>
      </c>
      <c r="J123" s="12" t="s">
        <v>19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6.25" customHeight="1">
      <c r="A124" s="12"/>
      <c r="B124" s="13"/>
      <c r="C124" s="12"/>
      <c r="D124" s="12"/>
      <c r="E124" s="12" t="s">
        <v>234</v>
      </c>
      <c r="F124" s="14" t="s">
        <v>235</v>
      </c>
      <c r="G124" s="12"/>
      <c r="H124" s="21"/>
      <c r="I124" s="9">
        <f>I123/0.2</f>
        <v>9.684</v>
      </c>
      <c r="J124" s="12" t="s">
        <v>22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6.25" customHeight="1">
      <c r="A125" s="18"/>
      <c r="B125" s="19"/>
      <c r="C125" s="18"/>
      <c r="D125" s="18"/>
      <c r="E125" s="18"/>
      <c r="F125" s="20" t="s">
        <v>236</v>
      </c>
      <c r="G125" s="18"/>
      <c r="H125" s="23"/>
      <c r="I125" s="9">
        <v>11.0</v>
      </c>
      <c r="J125" s="12" t="s">
        <v>25</v>
      </c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26.25" customHeight="1">
      <c r="A126" s="12" t="s">
        <v>243</v>
      </c>
      <c r="B126" s="13" t="s">
        <v>52</v>
      </c>
      <c r="C126" s="12" t="s">
        <v>244</v>
      </c>
      <c r="D126" s="12" t="s">
        <v>54</v>
      </c>
      <c r="E126" s="12" t="s">
        <v>118</v>
      </c>
      <c r="F126" s="14" t="s">
        <v>16</v>
      </c>
      <c r="G126" s="12" t="s">
        <v>233</v>
      </c>
      <c r="H126" s="21"/>
      <c r="I126" s="9">
        <f>(50/700)*23.76+(20/750)*8.46</f>
        <v>1.922742857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6.25" customHeight="1">
      <c r="A127" s="12"/>
      <c r="B127" s="13"/>
      <c r="C127" s="12"/>
      <c r="D127" s="12"/>
      <c r="E127" s="18" t="s">
        <v>234</v>
      </c>
      <c r="F127" s="14" t="s">
        <v>34</v>
      </c>
      <c r="G127" s="12"/>
      <c r="H127" s="21"/>
      <c r="I127" s="9">
        <f>I126/0.2</f>
        <v>9.613714286</v>
      </c>
      <c r="J127" s="12" t="s">
        <v>245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6.25" customHeight="1">
      <c r="A128" s="15" t="s">
        <v>246</v>
      </c>
      <c r="B128" s="16" t="s">
        <v>52</v>
      </c>
      <c r="C128" s="15" t="s">
        <v>244</v>
      </c>
      <c r="D128" s="15" t="s">
        <v>54</v>
      </c>
      <c r="E128" s="12" t="s">
        <v>242</v>
      </c>
      <c r="F128" s="17" t="s">
        <v>16</v>
      </c>
      <c r="G128" s="15" t="s">
        <v>233</v>
      </c>
      <c r="H128" s="15"/>
      <c r="I128" s="9">
        <f>(50/700)*21.28+(20/750)*8.46</f>
        <v>1.7456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6.25" customHeight="1">
      <c r="A129" s="12"/>
      <c r="B129" s="13"/>
      <c r="C129" s="12"/>
      <c r="D129" s="12"/>
      <c r="E129" s="18" t="s">
        <v>234</v>
      </c>
      <c r="F129" s="14" t="s">
        <v>34</v>
      </c>
      <c r="G129" s="12"/>
      <c r="H129" s="21"/>
      <c r="I129" s="9">
        <f>I128/0.2</f>
        <v>8.728</v>
      </c>
      <c r="J129" s="12" t="s">
        <v>245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6.25" customHeight="1">
      <c r="A130" s="15" t="s">
        <v>247</v>
      </c>
      <c r="B130" s="16" t="s">
        <v>52</v>
      </c>
      <c r="C130" s="15" t="s">
        <v>231</v>
      </c>
      <c r="D130" s="15" t="s">
        <v>232</v>
      </c>
      <c r="E130" s="12" t="s">
        <v>118</v>
      </c>
      <c r="F130" s="17" t="s">
        <v>165</v>
      </c>
      <c r="G130" s="15" t="s">
        <v>248</v>
      </c>
      <c r="H130" s="15"/>
      <c r="I130" s="9">
        <f>(60/700)*23.76+(10/750)*8.46</f>
        <v>2.149371429</v>
      </c>
      <c r="J130" s="12" t="s">
        <v>19</v>
      </c>
      <c r="K130" s="13"/>
      <c r="L130" s="13"/>
      <c r="M130" s="13"/>
      <c r="N130" s="56"/>
      <c r="O130" s="13"/>
      <c r="P130" s="13"/>
      <c r="Q130" s="13"/>
      <c r="R130" s="13"/>
      <c r="S130" s="13"/>
      <c r="T130" s="13"/>
      <c r="U130" s="57"/>
      <c r="V130" s="57"/>
      <c r="W130" s="57"/>
      <c r="X130" s="57"/>
      <c r="Y130" s="57"/>
      <c r="Z130" s="57"/>
    </row>
    <row r="131" ht="26.25" customHeight="1">
      <c r="A131" s="12"/>
      <c r="B131" s="13"/>
      <c r="C131" s="12"/>
      <c r="D131" s="12"/>
      <c r="E131" s="12" t="s">
        <v>234</v>
      </c>
      <c r="F131" s="14" t="s">
        <v>235</v>
      </c>
      <c r="G131" s="12"/>
      <c r="H131" s="21"/>
      <c r="I131" s="9">
        <f>I130/0.2</f>
        <v>10.74685714</v>
      </c>
      <c r="J131" s="12" t="s">
        <v>22</v>
      </c>
      <c r="K131" s="13"/>
      <c r="L131" s="13"/>
      <c r="M131" s="13"/>
      <c r="N131" s="56"/>
      <c r="O131" s="13"/>
      <c r="P131" s="13"/>
      <c r="Q131" s="13"/>
      <c r="R131" s="13"/>
      <c r="S131" s="13"/>
      <c r="T131" s="13"/>
      <c r="U131" s="57"/>
      <c r="V131" s="57"/>
      <c r="W131" s="57"/>
      <c r="X131" s="57"/>
      <c r="Y131" s="57"/>
      <c r="Z131" s="57"/>
    </row>
    <row r="132" ht="26.25" customHeight="1">
      <c r="A132" s="12"/>
      <c r="B132" s="13"/>
      <c r="C132" s="12"/>
      <c r="D132" s="12"/>
      <c r="E132" s="12"/>
      <c r="F132" s="14" t="s">
        <v>236</v>
      </c>
      <c r="G132" s="12"/>
      <c r="H132" s="21"/>
      <c r="I132" s="9">
        <v>11.0</v>
      </c>
      <c r="J132" s="12" t="s">
        <v>25</v>
      </c>
      <c r="K132" s="13"/>
      <c r="L132" s="13"/>
      <c r="M132" s="13"/>
      <c r="N132" s="56"/>
      <c r="O132" s="13"/>
      <c r="P132" s="13"/>
      <c r="Q132" s="13"/>
      <c r="R132" s="13"/>
      <c r="S132" s="13"/>
      <c r="T132" s="13"/>
      <c r="U132" s="57"/>
      <c r="V132" s="57"/>
      <c r="W132" s="57"/>
      <c r="X132" s="57"/>
      <c r="Y132" s="57"/>
      <c r="Z132" s="57"/>
    </row>
    <row r="133" ht="26.25" customHeight="1">
      <c r="A133" s="18"/>
      <c r="B133" s="19"/>
      <c r="C133" s="18"/>
      <c r="D133" s="18"/>
      <c r="E133" s="18" t="s">
        <v>249</v>
      </c>
      <c r="F133" s="20" t="s">
        <v>76</v>
      </c>
      <c r="G133" s="18"/>
      <c r="H133" s="23"/>
      <c r="I133" s="9"/>
      <c r="J133" s="13"/>
      <c r="K133" s="13"/>
      <c r="L133" s="13"/>
      <c r="M133" s="13"/>
      <c r="N133" s="56"/>
      <c r="O133" s="13"/>
      <c r="P133" s="13"/>
      <c r="Q133" s="13"/>
      <c r="R133" s="13"/>
      <c r="S133" s="13"/>
      <c r="T133" s="13"/>
      <c r="U133" s="57"/>
      <c r="V133" s="57"/>
      <c r="W133" s="57"/>
      <c r="X133" s="57"/>
      <c r="Y133" s="57"/>
      <c r="Z133" s="57"/>
    </row>
    <row r="134" ht="26.25" customHeight="1">
      <c r="A134" s="12" t="s">
        <v>250</v>
      </c>
      <c r="B134" s="13" t="s">
        <v>52</v>
      </c>
      <c r="C134" s="12" t="s">
        <v>240</v>
      </c>
      <c r="D134" s="12" t="s">
        <v>241</v>
      </c>
      <c r="E134" s="12" t="s">
        <v>242</v>
      </c>
      <c r="F134" s="14" t="s">
        <v>165</v>
      </c>
      <c r="G134" s="12" t="s">
        <v>248</v>
      </c>
      <c r="H134" s="21"/>
      <c r="I134" s="9">
        <f>(60/700)*21.28+(10/750)*8.46</f>
        <v>1.9368</v>
      </c>
      <c r="J134" s="12" t="s">
        <v>19</v>
      </c>
      <c r="K134" s="13"/>
      <c r="L134" s="13"/>
      <c r="M134" s="13"/>
      <c r="N134" s="56"/>
      <c r="O134" s="13"/>
      <c r="P134" s="13"/>
      <c r="Q134" s="13"/>
      <c r="R134" s="13"/>
      <c r="S134" s="13"/>
      <c r="T134" s="13"/>
      <c r="U134" s="57"/>
      <c r="V134" s="57"/>
      <c r="W134" s="57"/>
      <c r="X134" s="57"/>
      <c r="Y134" s="57"/>
      <c r="Z134" s="57"/>
    </row>
    <row r="135" ht="26.25" customHeight="1">
      <c r="A135" s="12"/>
      <c r="B135" s="13"/>
      <c r="C135" s="12"/>
      <c r="D135" s="12"/>
      <c r="E135" s="12" t="s">
        <v>234</v>
      </c>
      <c r="F135" s="14" t="s">
        <v>235</v>
      </c>
      <c r="G135" s="12"/>
      <c r="H135" s="21"/>
      <c r="I135" s="9">
        <f>I134/0.2</f>
        <v>9.684</v>
      </c>
      <c r="J135" s="12" t="s">
        <v>22</v>
      </c>
      <c r="K135" s="13"/>
      <c r="L135" s="13"/>
      <c r="M135" s="13"/>
      <c r="N135" s="56"/>
      <c r="O135" s="13"/>
      <c r="P135" s="13"/>
      <c r="Q135" s="13"/>
      <c r="R135" s="13"/>
      <c r="S135" s="13"/>
      <c r="T135" s="13"/>
      <c r="U135" s="57"/>
      <c r="V135" s="57"/>
      <c r="W135" s="57"/>
      <c r="X135" s="57"/>
      <c r="Y135" s="57"/>
      <c r="Z135" s="57"/>
    </row>
    <row r="136" ht="26.25" customHeight="1">
      <c r="A136" s="12"/>
      <c r="B136" s="13"/>
      <c r="C136" s="12"/>
      <c r="D136" s="12"/>
      <c r="E136" s="12"/>
      <c r="F136" s="14" t="s">
        <v>236</v>
      </c>
      <c r="G136" s="12"/>
      <c r="H136" s="21"/>
      <c r="I136" s="9">
        <v>11.0</v>
      </c>
      <c r="J136" s="12" t="s">
        <v>25</v>
      </c>
      <c r="K136" s="13"/>
      <c r="L136" s="13"/>
      <c r="M136" s="13"/>
      <c r="N136" s="56"/>
      <c r="O136" s="13"/>
      <c r="P136" s="13"/>
      <c r="Q136" s="13"/>
      <c r="R136" s="13"/>
      <c r="S136" s="13"/>
      <c r="T136" s="13"/>
      <c r="U136" s="57"/>
      <c r="V136" s="57"/>
      <c r="W136" s="57"/>
      <c r="X136" s="57"/>
      <c r="Y136" s="57"/>
      <c r="Z136" s="57"/>
    </row>
    <row r="137" ht="26.25" customHeight="1">
      <c r="A137" s="18"/>
      <c r="B137" s="19"/>
      <c r="C137" s="18"/>
      <c r="D137" s="18"/>
      <c r="E137" s="18" t="s">
        <v>249</v>
      </c>
      <c r="F137" s="20" t="s">
        <v>76</v>
      </c>
      <c r="G137" s="18"/>
      <c r="H137" s="23"/>
      <c r="I137" s="9"/>
      <c r="J137" s="13"/>
      <c r="K137" s="13"/>
      <c r="L137" s="13"/>
      <c r="M137" s="13"/>
      <c r="N137" s="56"/>
      <c r="O137" s="13"/>
      <c r="P137" s="13"/>
      <c r="Q137" s="13"/>
      <c r="R137" s="13"/>
      <c r="S137" s="13"/>
      <c r="T137" s="13"/>
      <c r="U137" s="57"/>
      <c r="V137" s="57"/>
      <c r="W137" s="57"/>
      <c r="X137" s="57"/>
      <c r="Y137" s="57"/>
      <c r="Z137" s="57"/>
    </row>
    <row r="138" ht="26.25" customHeight="1">
      <c r="A138" s="12" t="s">
        <v>251</v>
      </c>
      <c r="B138" s="13" t="s">
        <v>52</v>
      </c>
      <c r="C138" s="12" t="s">
        <v>244</v>
      </c>
      <c r="D138" s="12" t="s">
        <v>54</v>
      </c>
      <c r="E138" s="12" t="s">
        <v>118</v>
      </c>
      <c r="F138" s="14" t="s">
        <v>16</v>
      </c>
      <c r="G138" s="12" t="s">
        <v>248</v>
      </c>
      <c r="H138" s="21"/>
      <c r="I138" s="9">
        <f>(50/700)*23.76+(20/750)*8.46</f>
        <v>1.922742857</v>
      </c>
      <c r="J138" s="12" t="s">
        <v>19</v>
      </c>
      <c r="K138" s="13"/>
      <c r="L138" s="13"/>
      <c r="M138" s="13"/>
      <c r="N138" s="56"/>
      <c r="O138" s="13"/>
      <c r="P138" s="13"/>
      <c r="Q138" s="13"/>
      <c r="R138" s="13"/>
      <c r="S138" s="13"/>
      <c r="T138" s="13"/>
      <c r="U138" s="57"/>
      <c r="V138" s="57"/>
      <c r="W138" s="57"/>
      <c r="X138" s="57"/>
      <c r="Y138" s="57"/>
      <c r="Z138" s="57"/>
    </row>
    <row r="139" ht="26.25" customHeight="1">
      <c r="A139" s="12"/>
      <c r="B139" s="13"/>
      <c r="C139" s="12"/>
      <c r="D139" s="12"/>
      <c r="E139" s="12" t="s">
        <v>234</v>
      </c>
      <c r="F139" s="14" t="s">
        <v>34</v>
      </c>
      <c r="G139" s="12"/>
      <c r="H139" s="21"/>
      <c r="I139" s="9">
        <f>I138/0.2</f>
        <v>9.613714286</v>
      </c>
      <c r="J139" s="12" t="s">
        <v>22</v>
      </c>
      <c r="K139" s="13"/>
      <c r="L139" s="13"/>
      <c r="M139" s="13"/>
      <c r="N139" s="56"/>
      <c r="O139" s="13"/>
      <c r="P139" s="13"/>
      <c r="Q139" s="13"/>
      <c r="R139" s="13"/>
      <c r="S139" s="13"/>
      <c r="T139" s="13"/>
      <c r="U139" s="57"/>
      <c r="V139" s="57"/>
      <c r="W139" s="57"/>
      <c r="X139" s="57"/>
      <c r="Y139" s="57"/>
      <c r="Z139" s="57"/>
    </row>
    <row r="140" ht="26.25" customHeight="1">
      <c r="A140" s="18"/>
      <c r="B140" s="19"/>
      <c r="C140" s="18"/>
      <c r="D140" s="18"/>
      <c r="E140" s="18" t="s">
        <v>249</v>
      </c>
      <c r="F140" s="20" t="s">
        <v>76</v>
      </c>
      <c r="G140" s="18"/>
      <c r="H140" s="23"/>
      <c r="I140" s="9">
        <v>11.0</v>
      </c>
      <c r="J140" s="12" t="s">
        <v>25</v>
      </c>
      <c r="K140" s="13"/>
      <c r="L140" s="13"/>
      <c r="M140" s="13"/>
      <c r="N140" s="56"/>
      <c r="O140" s="13"/>
      <c r="P140" s="13"/>
      <c r="Q140" s="13"/>
      <c r="R140" s="13"/>
      <c r="S140" s="13"/>
      <c r="T140" s="13"/>
      <c r="U140" s="57"/>
      <c r="V140" s="57"/>
      <c r="W140" s="57"/>
      <c r="X140" s="57"/>
      <c r="Y140" s="57"/>
      <c r="Z140" s="57"/>
    </row>
    <row r="141" ht="26.25" customHeight="1">
      <c r="A141" s="12" t="s">
        <v>252</v>
      </c>
      <c r="B141" s="13" t="s">
        <v>52</v>
      </c>
      <c r="C141" s="12" t="s">
        <v>244</v>
      </c>
      <c r="D141" s="12" t="s">
        <v>54</v>
      </c>
      <c r="E141" s="12" t="s">
        <v>242</v>
      </c>
      <c r="F141" s="14" t="s">
        <v>16</v>
      </c>
      <c r="G141" s="12" t="s">
        <v>248</v>
      </c>
      <c r="H141" s="21"/>
      <c r="I141" s="9">
        <f>(50/700)*21.28+(20/750)*8.46</f>
        <v>1.7456</v>
      </c>
      <c r="J141" s="12" t="s">
        <v>19</v>
      </c>
      <c r="K141" s="13"/>
      <c r="L141" s="13"/>
      <c r="M141" s="13"/>
      <c r="N141" s="56"/>
      <c r="O141" s="13"/>
      <c r="P141" s="13"/>
      <c r="Q141" s="13"/>
      <c r="R141" s="13"/>
      <c r="S141" s="13"/>
      <c r="T141" s="13"/>
      <c r="U141" s="57"/>
      <c r="V141" s="57"/>
      <c r="W141" s="57"/>
      <c r="X141" s="57"/>
      <c r="Y141" s="57"/>
      <c r="Z141" s="57"/>
    </row>
    <row r="142" ht="26.25" customHeight="1">
      <c r="A142" s="12"/>
      <c r="B142" s="13"/>
      <c r="C142" s="12"/>
      <c r="D142" s="12"/>
      <c r="E142" s="12" t="s">
        <v>234</v>
      </c>
      <c r="F142" s="14" t="s">
        <v>34</v>
      </c>
      <c r="G142" s="12"/>
      <c r="H142" s="21"/>
      <c r="I142" s="9">
        <f>I141/0.2</f>
        <v>8.728</v>
      </c>
      <c r="J142" s="12" t="s">
        <v>22</v>
      </c>
      <c r="K142" s="13"/>
      <c r="L142" s="13"/>
      <c r="M142" s="13"/>
      <c r="N142" s="56"/>
      <c r="O142" s="13"/>
      <c r="P142" s="13"/>
      <c r="Q142" s="13"/>
      <c r="R142" s="13"/>
      <c r="S142" s="13"/>
      <c r="T142" s="13"/>
      <c r="U142" s="57"/>
      <c r="V142" s="57"/>
      <c r="W142" s="57"/>
      <c r="X142" s="57"/>
      <c r="Y142" s="57"/>
      <c r="Z142" s="57"/>
    </row>
    <row r="143" ht="26.25" customHeight="1">
      <c r="A143" s="18"/>
      <c r="B143" s="23"/>
      <c r="C143" s="18"/>
      <c r="D143" s="18"/>
      <c r="E143" s="18" t="s">
        <v>249</v>
      </c>
      <c r="F143" s="20" t="s">
        <v>76</v>
      </c>
      <c r="G143" s="18"/>
      <c r="H143" s="23"/>
      <c r="I143" s="9">
        <v>11.0</v>
      </c>
      <c r="J143" s="12" t="s">
        <v>25</v>
      </c>
      <c r="K143" s="13"/>
      <c r="L143" s="13"/>
      <c r="M143" s="13"/>
      <c r="N143" s="56"/>
      <c r="O143" s="13"/>
      <c r="P143" s="13"/>
      <c r="Q143" s="13"/>
      <c r="R143" s="13"/>
      <c r="S143" s="13"/>
      <c r="T143" s="13"/>
      <c r="U143" s="57"/>
      <c r="V143" s="57"/>
      <c r="W143" s="57"/>
      <c r="X143" s="57"/>
      <c r="Y143" s="57"/>
      <c r="Z143" s="57"/>
    </row>
    <row r="144" ht="26.25" customHeight="1">
      <c r="A144" s="12" t="s">
        <v>253</v>
      </c>
      <c r="B144" s="13" t="s">
        <v>27</v>
      </c>
      <c r="C144" s="12" t="s">
        <v>254</v>
      </c>
      <c r="D144" s="12" t="s">
        <v>100</v>
      </c>
      <c r="E144" s="12" t="s">
        <v>255</v>
      </c>
      <c r="F144" s="14" t="s">
        <v>16</v>
      </c>
      <c r="G144" s="12" t="s">
        <v>256</v>
      </c>
      <c r="H144" s="21" t="s">
        <v>257</v>
      </c>
      <c r="I144" s="9">
        <f>(50/700)*14.87+(10/700)*1+0.15+(1.08/4)</f>
        <v>1.496428571</v>
      </c>
      <c r="J144" s="12" t="s">
        <v>19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6.25" customHeight="1">
      <c r="A145" s="12"/>
      <c r="B145" s="13"/>
      <c r="C145" s="12"/>
      <c r="D145" s="12"/>
      <c r="E145" s="12" t="s">
        <v>35</v>
      </c>
      <c r="F145" s="14" t="s">
        <v>34</v>
      </c>
      <c r="G145" s="12"/>
      <c r="H145" s="21" t="s">
        <v>258</v>
      </c>
      <c r="I145" s="9">
        <f>I144/0.2</f>
        <v>7.482142857</v>
      </c>
      <c r="J145" s="12" t="s">
        <v>22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6.25" customHeight="1">
      <c r="A146" s="12"/>
      <c r="B146" s="13"/>
      <c r="C146" s="12"/>
      <c r="D146" s="12"/>
      <c r="E146" s="12" t="s">
        <v>259</v>
      </c>
      <c r="F146" s="14" t="s">
        <v>40</v>
      </c>
      <c r="G146" s="12"/>
      <c r="H146" s="12"/>
      <c r="I146" s="9">
        <v>9.0</v>
      </c>
      <c r="J146" s="12" t="s">
        <v>25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6.25" customHeight="1">
      <c r="A147" s="12"/>
      <c r="B147" s="13"/>
      <c r="C147" s="12"/>
      <c r="D147" s="12"/>
      <c r="E147" s="12" t="s">
        <v>260</v>
      </c>
      <c r="F147" s="58" t="s">
        <v>261</v>
      </c>
      <c r="G147" s="12"/>
      <c r="H147" s="12"/>
      <c r="I147" s="9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6.25" customHeight="1">
      <c r="A148" s="18"/>
      <c r="B148" s="19"/>
      <c r="C148" s="18"/>
      <c r="D148" s="18"/>
      <c r="E148" s="18" t="s">
        <v>23</v>
      </c>
      <c r="F148" s="20" t="s">
        <v>262</v>
      </c>
      <c r="G148" s="18"/>
      <c r="H148" s="18"/>
      <c r="I148" s="9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59"/>
      <c r="F153" s="60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H1"/>
  </mergeCells>
  <drawing r:id="rId1"/>
</worksheet>
</file>